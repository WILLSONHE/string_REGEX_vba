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资料库\讲义和Textbook\CS\CS2034\Lab\Lab7\"/>
    </mc:Choice>
  </mc:AlternateContent>
  <xr:revisionPtr revIDLastSave="0" documentId="13_ncr:1_{FCEDE490-E2C0-4774-9013-75D5A1AF3989}" xr6:coauthVersionLast="47" xr6:coauthVersionMax="47" xr10:uidLastSave="{00000000-0000-0000-0000-000000000000}"/>
  <bookViews>
    <workbookView xWindow="-28920" yWindow="-120" windowWidth="29040" windowHeight="15840" xr2:uid="{5A99C832-321B-4DF2-A648-3D0BD21B575A}"/>
  </bookViews>
  <sheets>
    <sheet name="steps" sheetId="1" r:id="rId1"/>
    <sheet name="courseD" sheetId="15" r:id="rId2"/>
    <sheet name="search" sheetId="16" r:id="rId3"/>
    <sheet name="hidden" sheetId="8" state="hidden" r:id="rId4"/>
  </sheets>
  <functionGroups builtInGroupCount="19"/>
  <definedNames>
    <definedName name="Punctuation">steps!$F$26:$Q$26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8" i="1" l="1"/>
  <c r="B40" i="1"/>
  <c r="B41" i="1"/>
  <c r="B42" i="1"/>
  <c r="B44" i="1"/>
  <c r="B45" i="1"/>
  <c r="B47" i="1"/>
  <c r="B48" i="1"/>
  <c r="B50" i="1"/>
  <c r="B51" i="1"/>
  <c r="B52" i="1"/>
  <c r="B56" i="1"/>
  <c r="B58" i="1"/>
  <c r="B59" i="1"/>
  <c r="B60" i="1"/>
  <c r="B61" i="1"/>
  <c r="A55" i="1"/>
  <c r="A57" i="1"/>
  <c r="A54" i="1"/>
  <c r="A53" i="1"/>
  <c r="A39" i="1"/>
  <c r="A37" i="1"/>
  <c r="B35" i="1"/>
  <c r="C15" i="8"/>
  <c r="B28" i="1"/>
  <c r="B23" i="1"/>
  <c r="B24" i="1"/>
  <c r="B30" i="1"/>
  <c r="A11" i="1"/>
  <c r="A15" i="1"/>
  <c r="A7" i="1"/>
  <c r="C17" i="8" a="1"/>
  <c r="C17" i="15" a="1"/>
  <c r="C31" i="15" a="1"/>
  <c r="C15" i="15" a="1"/>
  <c r="C44" i="15" a="1"/>
  <c r="C74" i="15" a="1"/>
  <c r="C106" i="15" a="1"/>
  <c r="C77" i="15" a="1"/>
  <c r="C107" i="15" a="1"/>
  <c r="C23" i="15" a="1"/>
  <c r="C10" i="15" a="1"/>
  <c r="C66" i="15" a="1"/>
  <c r="C111" i="15" a="1"/>
  <c r="C40" i="15" a="1"/>
  <c r="C26" i="15" a="1"/>
  <c r="C70" i="15" a="1"/>
  <c r="C89" i="15" a="1"/>
  <c r="C46" i="15" a="1"/>
  <c r="C8" i="15" a="1"/>
  <c r="C88" i="15" a="1"/>
  <c r="C32" i="15" a="1"/>
  <c r="C2" i="15" a="1"/>
  <c r="C62" i="15" a="1"/>
  <c r="C30" i="15" a="1"/>
  <c r="C75" i="15" a="1"/>
  <c r="C16" i="15" a="1"/>
  <c r="C7" i="15" a="1"/>
  <c r="C91" i="15" a="1"/>
  <c r="C1" i="15" a="1"/>
  <c r="C110" i="15" a="1"/>
  <c r="C56" i="15" a="1"/>
  <c r="C38" i="15" a="1"/>
  <c r="C61" i="15" a="1"/>
  <c r="C28" i="15" a="1"/>
  <c r="C90" i="15" a="1"/>
  <c r="C47" i="15" a="1"/>
  <c r="C18" i="15" a="1"/>
  <c r="C3" i="15" a="1"/>
  <c r="C6" i="15" a="1"/>
  <c r="C83" i="15" a="1"/>
  <c r="C100" i="15" a="1"/>
  <c r="C99" i="15" a="1"/>
  <c r="C82" i="15" a="1"/>
  <c r="C104" i="15" a="1"/>
  <c r="C14" i="15" a="1"/>
  <c r="C39" i="15" a="1"/>
  <c r="C87" i="15" a="1"/>
  <c r="C29" i="15" a="1"/>
  <c r="C76" i="15" a="1"/>
  <c r="C63" i="15" a="1"/>
  <c r="C33" i="15" a="1"/>
  <c r="C19" i="15" a="1"/>
  <c r="C4" i="15" a="1"/>
  <c r="C92" i="15" a="1"/>
  <c r="C22" i="15" a="1"/>
  <c r="C53" i="15" a="1"/>
  <c r="C21" i="15" a="1"/>
  <c r="C51" i="15" a="1"/>
  <c r="C95" i="15" a="1"/>
  <c r="C55" i="15" a="1"/>
  <c r="C101" i="15" a="1"/>
  <c r="C9" i="15" a="1"/>
  <c r="C69" i="15" a="1"/>
  <c r="C102" i="15" a="1"/>
  <c r="C71" i="15" a="1"/>
  <c r="C12" i="15" a="1"/>
  <c r="C59" i="15" a="1"/>
  <c r="C78" i="15" a="1"/>
  <c r="C48" i="15" a="1"/>
  <c r="C34" i="15" a="1"/>
  <c r="C20" i="15" a="1"/>
  <c r="C5" i="15" a="1"/>
  <c r="C37" i="15" a="1"/>
  <c r="C68" i="15" a="1"/>
  <c r="C35" i="15" a="1"/>
  <c r="C84" i="15" a="1"/>
  <c r="C81" i="15" a="1"/>
  <c r="C85" i="15" a="1"/>
  <c r="C98" i="15" a="1"/>
  <c r="C11" i="15" a="1"/>
  <c r="C73" i="15" a="1"/>
  <c r="C43" i="15" a="1"/>
  <c r="C72" i="15" a="1"/>
  <c r="C108" i="15" a="1"/>
  <c r="C93" i="15" a="1"/>
  <c r="C64" i="15" a="1"/>
  <c r="C49" i="15" a="1"/>
  <c r="C52" i="15" a="1"/>
  <c r="C80" i="15" a="1"/>
  <c r="C41" i="15" a="1"/>
  <c r="C42" i="15" a="1"/>
  <c r="C54" i="15" a="1"/>
  <c r="C86" i="15" a="1"/>
  <c r="C58" i="15" a="1"/>
  <c r="C103" i="15" a="1"/>
  <c r="C60" i="15" a="1"/>
  <c r="C45" i="15" a="1"/>
  <c r="C109" i="15" a="1"/>
  <c r="C79" i="15" a="1"/>
  <c r="C65" i="15" a="1"/>
  <c r="C50" i="15" a="1"/>
  <c r="C36" i="15" a="1"/>
  <c r="C67" i="15" a="1"/>
  <c r="C24" i="15" a="1"/>
  <c r="C94" i="15" a="1"/>
  <c r="C96" i="15" a="1"/>
  <c r="C112" i="15" a="1"/>
  <c r="C97" i="15" a="1"/>
  <c r="C25" i="15" a="1"/>
  <c r="C57" i="15" a="1"/>
  <c r="C27" i="15" a="1"/>
  <c r="C13" i="15" a="1"/>
  <c r="C105" i="15" a="1"/>
  <c r="A26" i="1"/>
  <c r="B54" i="1" l="1"/>
  <c r="B53" i="1"/>
  <c r="B57" i="1"/>
  <c r="B49" i="1"/>
  <c r="B46" i="1"/>
  <c r="B43" i="1"/>
  <c r="B37" i="1"/>
  <c r="B55" i="1"/>
  <c r="B39" i="1"/>
  <c r="C108" i="15"/>
  <c r="C8" i="15"/>
  <c r="C46" i="15"/>
  <c r="C61" i="15"/>
  <c r="C14" i="15"/>
  <c r="C104" i="15"/>
  <c r="C42" i="15"/>
  <c r="C41" i="15"/>
  <c r="C10" i="15"/>
  <c r="C24" i="15"/>
  <c r="C84" i="15"/>
  <c r="C68" i="15"/>
  <c r="C53" i="15"/>
  <c r="C23" i="15"/>
  <c r="C7" i="15"/>
  <c r="C77" i="15"/>
  <c r="C76" i="15"/>
  <c r="C29" i="15"/>
  <c r="C43" i="15"/>
  <c r="C58" i="15"/>
  <c r="C26" i="15"/>
  <c r="C56" i="15"/>
  <c r="C101" i="15"/>
  <c r="C85" i="15"/>
  <c r="C83" i="15"/>
  <c r="C67" i="15"/>
  <c r="C52" i="15"/>
  <c r="C37" i="15"/>
  <c r="C22" i="15"/>
  <c r="C6" i="15"/>
  <c r="C16" i="15"/>
  <c r="C106" i="15"/>
  <c r="C105" i="15"/>
  <c r="C28" i="15"/>
  <c r="C27" i="15"/>
  <c r="C57" i="15"/>
  <c r="C25" i="15"/>
  <c r="C9" i="15"/>
  <c r="C82" i="15"/>
  <c r="C66" i="15"/>
  <c r="C51" i="15"/>
  <c r="C36" i="15"/>
  <c r="C21" i="15"/>
  <c r="C5" i="15"/>
  <c r="C92" i="15"/>
  <c r="C91" i="15"/>
  <c r="C75" i="15"/>
  <c r="C74" i="15"/>
  <c r="C88" i="15"/>
  <c r="C72" i="15"/>
  <c r="C71" i="15"/>
  <c r="C39" i="15"/>
  <c r="C38" i="15"/>
  <c r="C97" i="15"/>
  <c r="C112" i="15"/>
  <c r="C96" i="15"/>
  <c r="C81" i="15"/>
  <c r="C50" i="15"/>
  <c r="C35" i="15"/>
  <c r="C20" i="15"/>
  <c r="C4" i="15"/>
  <c r="C107" i="15"/>
  <c r="C30" i="15"/>
  <c r="C44" i="15"/>
  <c r="C59" i="15"/>
  <c r="C12" i="15"/>
  <c r="C87" i="15"/>
  <c r="C70" i="15"/>
  <c r="C69" i="15"/>
  <c r="C98" i="15"/>
  <c r="C111" i="15"/>
  <c r="C95" i="15"/>
  <c r="C80" i="15"/>
  <c r="C65" i="15"/>
  <c r="C49" i="15"/>
  <c r="C34" i="15"/>
  <c r="C19" i="15"/>
  <c r="C3" i="15"/>
  <c r="C62" i="15"/>
  <c r="C15" i="15"/>
  <c r="C90" i="15"/>
  <c r="C13" i="15"/>
  <c r="C103" i="15"/>
  <c r="C102" i="15"/>
  <c r="C86" i="15"/>
  <c r="C54" i="15"/>
  <c r="C99" i="15"/>
  <c r="C110" i="15"/>
  <c r="C94" i="15"/>
  <c r="C79" i="15"/>
  <c r="C64" i="15"/>
  <c r="C48" i="15"/>
  <c r="C33" i="15"/>
  <c r="C18" i="15"/>
  <c r="C2" i="15"/>
  <c r="C31" i="15"/>
  <c r="C45" i="15"/>
  <c r="C60" i="15"/>
  <c r="C89" i="15"/>
  <c r="C73" i="15"/>
  <c r="C11" i="15"/>
  <c r="C40" i="15"/>
  <c r="C55" i="15"/>
  <c r="C100" i="15"/>
  <c r="C1" i="15"/>
  <c r="C109" i="15"/>
  <c r="C93" i="15"/>
  <c r="C78" i="15"/>
  <c r="C63" i="15"/>
  <c r="C47" i="15"/>
  <c r="C32" i="15"/>
  <c r="C17" i="15"/>
  <c r="C17" i="8"/>
  <c r="B15" i="1"/>
  <c r="B11" i="1"/>
  <c r="B5" i="1"/>
  <c r="A29" i="1" l="1"/>
  <c r="A1" i="8"/>
  <c r="C22" i="8" s="1"/>
  <c r="C35" i="1" s="1"/>
  <c r="C12" i="8" l="1"/>
  <c r="C8" i="8"/>
  <c r="C4" i="1" s="1"/>
  <c r="B2" i="8"/>
  <c r="C3" i="8" s="1"/>
  <c r="C16" i="8" s="1"/>
  <c r="F22" i="1" s="1"/>
  <c r="C2" i="8" l="1"/>
  <c r="B1" i="8" s="1"/>
  <c r="C14" i="8"/>
  <c r="C6" i="8"/>
  <c r="C4" i="8"/>
  <c r="C21" i="1" l="1"/>
  <c r="C22" i="1"/>
  <c r="D6" i="8"/>
  <c r="D1" i="1"/>
  <c r="C24" i="1" a="1"/>
  <c r="C24" i="1" l="1"/>
  <c r="A21" i="1" s="1"/>
  <c r="B29" i="1" s="1"/>
  <c r="B7" i="1"/>
  <c r="B26" i="1" l="1"/>
  <c r="B21" i="1"/>
  <c r="E1" i="1"/>
  <c r="B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2090E1-1345-4318-B722-21326A0F2BD0}" keepAlive="1" name="Query - Countries and dependencies by area" description="Connection to the 'Countries and dependencies by area' query in the workbook." type="5" refreshedVersion="7" background="1" saveData="1">
    <dbPr connection="Provider=Microsoft.Mashup.OleDb.1;Data Source=$Workbook$;Location=&quot;Countries and dependencies by area&quot;;Extended Properties=&quot;&quot;" command="SELECT * FROM [Countries and dependencies by are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<sst xmlns="http://schemas.openxmlformats.org/spreadsheetml/2006/main" count="594" uniqueCount="558">
  <si>
    <t>Austin</t>
  </si>
  <si>
    <t>ID</t>
  </si>
  <si>
    <t>unknown</t>
  </si>
  <si>
    <t>unknown2</t>
  </si>
  <si>
    <t>unknown3</t>
  </si>
  <si>
    <t>unknown4</t>
  </si>
  <si>
    <t>jimM</t>
  </si>
  <si>
    <t>Aakriti</t>
  </si>
  <si>
    <t>Brandon</t>
  </si>
  <si>
    <t>Amir</t>
  </si>
  <si>
    <t xml:space="preserve">Mahdiyar </t>
  </si>
  <si>
    <t>Soudeh</t>
  </si>
  <si>
    <t>Homa</t>
  </si>
  <si>
    <t>Alaa Mohamad</t>
  </si>
  <si>
    <t>Faiez</t>
  </si>
  <si>
    <t>Marwan</t>
  </si>
  <si>
    <t>Pavle</t>
  </si>
  <si>
    <t>Aryan</t>
  </si>
  <si>
    <t>Resham</t>
  </si>
  <si>
    <t>Sena</t>
  </si>
  <si>
    <t>Allan James</t>
  </si>
  <si>
    <t>Yuki</t>
  </si>
  <si>
    <t>Rahul</t>
  </si>
  <si>
    <t>Jacob Matthew</t>
  </si>
  <si>
    <t>Antaeus Julien</t>
  </si>
  <si>
    <t>Zakir</t>
  </si>
  <si>
    <t>Alim Karim</t>
  </si>
  <si>
    <t>Anuj</t>
  </si>
  <si>
    <t>Yuan</t>
  </si>
  <si>
    <t>Sage Derek Christopher</t>
  </si>
  <si>
    <t>Liam Patrick</t>
  </si>
  <si>
    <t>Yihan</t>
  </si>
  <si>
    <t>Vu Luong Hoan</t>
  </si>
  <si>
    <t>Xiaoai</t>
  </si>
  <si>
    <t>Yunong</t>
  </si>
  <si>
    <t>Julien Andrew</t>
  </si>
  <si>
    <t>Yoonjae</t>
  </si>
  <si>
    <t>Yanmiao</t>
  </si>
  <si>
    <t>Gurleen Kaur</t>
  </si>
  <si>
    <t>Angela</t>
  </si>
  <si>
    <t>Chloe</t>
  </si>
  <si>
    <t>Deanna</t>
  </si>
  <si>
    <t>Erick</t>
  </si>
  <si>
    <t>Henry Yu Heng</t>
  </si>
  <si>
    <t>Linyin</t>
  </si>
  <si>
    <t>Qingling</t>
  </si>
  <si>
    <t>Rongdan</t>
  </si>
  <si>
    <t>Terry Yi Fan</t>
  </si>
  <si>
    <t>Weizhi</t>
  </si>
  <si>
    <t>Xinyi</t>
  </si>
  <si>
    <t>Chloe Ellen</t>
  </si>
  <si>
    <t>Kristen Victoria</t>
  </si>
  <si>
    <t>Brian</t>
  </si>
  <si>
    <t>Matthew James</t>
  </si>
  <si>
    <t>Yi</t>
  </si>
  <si>
    <t>Luke Patrick Paul</t>
  </si>
  <si>
    <t>Nicholas Jun</t>
  </si>
  <si>
    <t>Seth Joshua</t>
  </si>
  <si>
    <t>Minzhe</t>
  </si>
  <si>
    <t>Nan</t>
  </si>
  <si>
    <t>Yang</t>
  </si>
  <si>
    <t>Yue</t>
  </si>
  <si>
    <t>Martin</t>
  </si>
  <si>
    <t>Daniel Victor</t>
  </si>
  <si>
    <t>Wasilij</t>
  </si>
  <si>
    <t>Hannah Taylor</t>
  </si>
  <si>
    <t>Zoe Kristen</t>
  </si>
  <si>
    <t>Benjamin Talbot</t>
  </si>
  <si>
    <t>Yuanming</t>
  </si>
  <si>
    <t>Jun An</t>
  </si>
  <si>
    <t>Wenxi</t>
  </si>
  <si>
    <t>Mohamad</t>
  </si>
  <si>
    <t>Yueyue</t>
  </si>
  <si>
    <t>Anne</t>
  </si>
  <si>
    <t>Muhammad Jibran</t>
  </si>
  <si>
    <t>Yaning</t>
  </si>
  <si>
    <t>Tracy</t>
  </si>
  <si>
    <t>Nathen</t>
  </si>
  <si>
    <t>Rodolfo Enrique</t>
  </si>
  <si>
    <t>Mason Basilio</t>
  </si>
  <si>
    <t>Bryan Kenneth</t>
  </si>
  <si>
    <t>Xueying</t>
  </si>
  <si>
    <t>Chang</t>
  </si>
  <si>
    <t>Prachi Niteshkumar</t>
  </si>
  <si>
    <t>Emily Hannah</t>
  </si>
  <si>
    <t>Lucas Frank</t>
  </si>
  <si>
    <t>Lingya</t>
  </si>
  <si>
    <t>Alan</t>
  </si>
  <si>
    <t>Jiayi</t>
  </si>
  <si>
    <t>Kelly</t>
  </si>
  <si>
    <t>Eyoel Asfaw</t>
  </si>
  <si>
    <t>Baizhou</t>
  </si>
  <si>
    <t>Mengyu</t>
  </si>
  <si>
    <t>Nicole</t>
  </si>
  <si>
    <t>Luke Fredrick Peter</t>
  </si>
  <si>
    <t>Isaiah</t>
  </si>
  <si>
    <t>Shenghua</t>
  </si>
  <si>
    <t>Valerie Simone</t>
  </si>
  <si>
    <t>Ryan</t>
  </si>
  <si>
    <t>Cathy</t>
  </si>
  <si>
    <t>Junming</t>
  </si>
  <si>
    <t>Guanjie</t>
  </si>
  <si>
    <t>Jacky</t>
  </si>
  <si>
    <t>Jun</t>
  </si>
  <si>
    <t>Zhiqian</t>
  </si>
  <si>
    <t>Jason</t>
  </si>
  <si>
    <t>Weihao</t>
  </si>
  <si>
    <t>Chen</t>
  </si>
  <si>
    <t>Yongcheng</t>
  </si>
  <si>
    <t>Yuzhou</t>
  </si>
  <si>
    <t>Xianzhu</t>
  </si>
  <si>
    <t>Truman Alexander</t>
  </si>
  <si>
    <t>Natalie</t>
  </si>
  <si>
    <t>Shajan</t>
  </si>
  <si>
    <t>Da Xin</t>
  </si>
  <si>
    <t>Grace</t>
  </si>
  <si>
    <t>Jian</t>
  </si>
  <si>
    <t>Avanti</t>
  </si>
  <si>
    <t>Varun</t>
  </si>
  <si>
    <t>Bona</t>
  </si>
  <si>
    <t>Lili</t>
  </si>
  <si>
    <t>Youngwon</t>
  </si>
  <si>
    <t>Keawna Rose</t>
  </si>
  <si>
    <t>Annie</t>
  </si>
  <si>
    <t>Kenneth Jonathan</t>
  </si>
  <si>
    <t>Sean Xian Jia</t>
  </si>
  <si>
    <t>Boris</t>
  </si>
  <si>
    <t>Fiona</t>
  </si>
  <si>
    <t>Prishni</t>
  </si>
  <si>
    <t>Jiahao</t>
  </si>
  <si>
    <t>James Ben-Jin</t>
  </si>
  <si>
    <t>Michael Joseph</t>
  </si>
  <si>
    <t>Minhyeok</t>
  </si>
  <si>
    <t>David Chi-Ho</t>
  </si>
  <si>
    <t>Valarie</t>
  </si>
  <si>
    <t>Danielle</t>
  </si>
  <si>
    <t>Brian Yi-Kun</t>
  </si>
  <si>
    <t>Christopher</t>
  </si>
  <si>
    <t>Ethan</t>
  </si>
  <si>
    <t>Jiate</t>
  </si>
  <si>
    <t>Jingyu</t>
  </si>
  <si>
    <t>Kevin Hua</t>
  </si>
  <si>
    <t>Shanshan</t>
  </si>
  <si>
    <t>Tianhao</t>
  </si>
  <si>
    <t>Wenhao</t>
  </si>
  <si>
    <t>Xiaoci</t>
  </si>
  <si>
    <t>Zhengwen</t>
  </si>
  <si>
    <t>Fengying</t>
  </si>
  <si>
    <t>Xiangyuan</t>
  </si>
  <si>
    <t>Yuhan</t>
  </si>
  <si>
    <t>Linda</t>
  </si>
  <si>
    <t>Catherine</t>
  </si>
  <si>
    <t>Derek</t>
  </si>
  <si>
    <t>Jialing</t>
  </si>
  <si>
    <t>John Guangxu</t>
  </si>
  <si>
    <t>Tong</t>
  </si>
  <si>
    <t>Yabin</t>
  </si>
  <si>
    <t>Yulin</t>
  </si>
  <si>
    <t>Christian</t>
  </si>
  <si>
    <t>Emma</t>
  </si>
  <si>
    <t>Lan</t>
  </si>
  <si>
    <t>Sophia</t>
  </si>
  <si>
    <t>Anny</t>
  </si>
  <si>
    <t>Sienna</t>
  </si>
  <si>
    <t>Yuting</t>
  </si>
  <si>
    <t>Stuart Atton</t>
  </si>
  <si>
    <t>Prabhneet</t>
  </si>
  <si>
    <t>Karsten Lucas</t>
  </si>
  <si>
    <t>Kiana</t>
  </si>
  <si>
    <t>Liam</t>
  </si>
  <si>
    <t>Samuel Henry</t>
  </si>
  <si>
    <t>Brendan David</t>
  </si>
  <si>
    <t>Michael</t>
  </si>
  <si>
    <t>Bradley David Reese</t>
  </si>
  <si>
    <t>Tomas</t>
  </si>
  <si>
    <t>Rachel</t>
  </si>
  <si>
    <t>Nishta</t>
  </si>
  <si>
    <t>Shu</t>
  </si>
  <si>
    <t>Chenfei</t>
  </si>
  <si>
    <t>Shaojie</t>
  </si>
  <si>
    <t>Ziyi</t>
  </si>
  <si>
    <t>Hamneet</t>
  </si>
  <si>
    <t>Reshad</t>
  </si>
  <si>
    <t>Runzi</t>
  </si>
  <si>
    <t>Armeen</t>
  </si>
  <si>
    <t>Justin</t>
  </si>
  <si>
    <t>Tyler</t>
  </si>
  <si>
    <t>Brielle</t>
  </si>
  <si>
    <t>Julia</t>
  </si>
  <si>
    <t>Xinyan</t>
  </si>
  <si>
    <t>Yiran</t>
  </si>
  <si>
    <t>Jannatul Mawa</t>
  </si>
  <si>
    <t>Zahin</t>
  </si>
  <si>
    <t>Xiaoshan</t>
  </si>
  <si>
    <t>Zhikang</t>
  </si>
  <si>
    <t>Rishi Kumar</t>
  </si>
  <si>
    <t>Mingxuan</t>
  </si>
  <si>
    <t>Sharon Ding Jiaoyi</t>
  </si>
  <si>
    <t>Yuewei</t>
  </si>
  <si>
    <t>Balan Jayaraj</t>
  </si>
  <si>
    <t>Gradyn Day</t>
  </si>
  <si>
    <t>Jordan Matthew</t>
  </si>
  <si>
    <t>Alishan</t>
  </si>
  <si>
    <t>Ke</t>
  </si>
  <si>
    <t>Ali</t>
  </si>
  <si>
    <t>Feijie</t>
  </si>
  <si>
    <t>Emmeline</t>
  </si>
  <si>
    <t>Xuying</t>
  </si>
  <si>
    <t>Zeiad</t>
  </si>
  <si>
    <t>Aviv</t>
  </si>
  <si>
    <t>Rafael</t>
  </si>
  <si>
    <t>Yoshan</t>
  </si>
  <si>
    <t>Arjun S</t>
  </si>
  <si>
    <t>Roxana</t>
  </si>
  <si>
    <t>Irfan Rahul</t>
  </si>
  <si>
    <t>Amay</t>
  </si>
  <si>
    <t>Jiawang</t>
  </si>
  <si>
    <t>Kevin</t>
  </si>
  <si>
    <t>Ruoyun</t>
  </si>
  <si>
    <t>Hengming</t>
  </si>
  <si>
    <t>Sehaj</t>
  </si>
  <si>
    <t>Landen</t>
  </si>
  <si>
    <t>Yidan</t>
  </si>
  <si>
    <t>SIDDHARTH</t>
  </si>
  <si>
    <t>Basil</t>
  </si>
  <si>
    <t>Allison</t>
  </si>
  <si>
    <t>Avril</t>
  </si>
  <si>
    <t>Guo Han</t>
  </si>
  <si>
    <t>Yuxuan</t>
  </si>
  <si>
    <t>Zixin</t>
  </si>
  <si>
    <t>Briana</t>
  </si>
  <si>
    <t>Katelynn</t>
  </si>
  <si>
    <t>Joseph Arthur</t>
  </si>
  <si>
    <t>Matthew Owen</t>
  </si>
  <si>
    <t>Kandy</t>
  </si>
  <si>
    <t>Zihui</t>
  </si>
  <si>
    <t>Jane</t>
  </si>
  <si>
    <t>Nicholas John</t>
  </si>
  <si>
    <t>Mausam</t>
  </si>
  <si>
    <t>Brianna Lynne</t>
  </si>
  <si>
    <t>Emily Michelle</t>
  </si>
  <si>
    <t>Miren</t>
  </si>
  <si>
    <t>David</t>
  </si>
  <si>
    <t>Haoyu</t>
  </si>
  <si>
    <t>Jax</t>
  </si>
  <si>
    <t>Jingwen</t>
  </si>
  <si>
    <t>Shitong</t>
  </si>
  <si>
    <t>Shiyuan</t>
  </si>
  <si>
    <t>Tianyu</t>
  </si>
  <si>
    <t>Wesley</t>
  </si>
  <si>
    <t>Yangsijia</t>
  </si>
  <si>
    <t>Zixuan</t>
  </si>
  <si>
    <t>Wenlong</t>
  </si>
  <si>
    <t>Jared Mitchell</t>
  </si>
  <si>
    <t>Xin</t>
  </si>
  <si>
    <t>Hanxin</t>
  </si>
  <si>
    <t>Sandy</t>
  </si>
  <si>
    <t>Stephanie</t>
  </si>
  <si>
    <t>Geoffrey</t>
  </si>
  <si>
    <t>Yaodan</t>
  </si>
  <si>
    <t>Eric Xinming</t>
  </si>
  <si>
    <t>Yangxuan</t>
  </si>
  <si>
    <t>Yifei</t>
  </si>
  <si>
    <t>Wai Sze</t>
  </si>
  <si>
    <t>Dexter</t>
  </si>
  <si>
    <t>Haoyuan</t>
  </si>
  <si>
    <t>Liyi</t>
  </si>
  <si>
    <t>Xunqi</t>
  </si>
  <si>
    <t>Emily Yiran</t>
  </si>
  <si>
    <t>Haoni</t>
  </si>
  <si>
    <t>Jingyi</t>
  </si>
  <si>
    <t>Michael Fengwei</t>
  </si>
  <si>
    <t>Wenjing</t>
  </si>
  <si>
    <t>Wenkaixuan</t>
  </si>
  <si>
    <t>Tinglin</t>
  </si>
  <si>
    <t>Jiake</t>
  </si>
  <si>
    <t>Jiali</t>
  </si>
  <si>
    <t>Jinyang</t>
  </si>
  <si>
    <t>Tian Le</t>
  </si>
  <si>
    <t>Xiaoyi</t>
  </si>
  <si>
    <t>Xuen</t>
  </si>
  <si>
    <t>MingXuan</t>
  </si>
  <si>
    <t>Catherine Xiwen</t>
  </si>
  <si>
    <t>Cindy Jia</t>
  </si>
  <si>
    <t>Ernest Zhongyao</t>
  </si>
  <si>
    <t>Judy</t>
  </si>
  <si>
    <t>Michael D</t>
  </si>
  <si>
    <t>Shiyao</t>
  </si>
  <si>
    <t>Tingyan</t>
  </si>
  <si>
    <t>Xiaowei</t>
  </si>
  <si>
    <t>Lingyu</t>
  </si>
  <si>
    <t>RUNZE</t>
  </si>
  <si>
    <t>Max De</t>
  </si>
  <si>
    <t>Derica</t>
  </si>
  <si>
    <t>Yan</t>
  </si>
  <si>
    <t>Boxuan</t>
  </si>
  <si>
    <t>Linqi</t>
  </si>
  <si>
    <t>Yifan</t>
  </si>
  <si>
    <t>Yilei</t>
  </si>
  <si>
    <t>Steve</t>
  </si>
  <si>
    <t>&lt;Enter your student id # in C1&gt;</t>
  </si>
  <si>
    <t>ONLY Self check the black zeros not the lighter gray ones</t>
  </si>
  <si>
    <t>Task 2</t>
  </si>
  <si>
    <t>=randomPick(5,40,$N1:O1)</t>
  </si>
  <si>
    <t>=randomPick(5,40,$N1:P1)</t>
  </si>
  <si>
    <t>Computer Science 1011A/B THE INTERNET: BEHIND THE CURTAIN</t>
  </si>
  <si>
    <t>The technological successes that have led to the Internet's wide adoption for work and social purposes. The ways in which computer technology has led to more compact representation of data, and faster, more reliable and more secure communication. Intended primarily for students not in Computer Science.</t>
  </si>
  <si>
    <t>Computer Science 1025A/B COMPUTER SCIENCE FUNDAMENTALS I</t>
  </si>
  <si>
    <t>The nature of Computer Science as a discipline; the design and analysis of algorithms and their implementation as modular, reliable, well-documented programs written in a modern programming language. Intended for students with significant programming experience in at least one high-level block-structured or object-oriented language.</t>
  </si>
  <si>
    <t>Computer Science 1026A/B COMPUTER SCIENCE FUNDAMENTALS I</t>
  </si>
  <si>
    <t>The nature of Computer Science as a discipline; the design and analysis of algorithms and their implementation as modular, reliable, well-documented programs written in a modern programming language. Intended for students with little or no background in programming.</t>
  </si>
  <si>
    <t>Computer Science 1027A/B COMPUTER SCIENCE FUNDAMENTALS II</t>
  </si>
  <si>
    <t>A continuation for both Computer Science 1025A/B and Computer Science 1026A/B. Data organization and manipulation; abstract data types and their implementations in a modern programming language; lists, stacks, queues, trees; pointers; recursion; file handling and storage.</t>
  </si>
  <si>
    <t>Computer Science 1032A/B INFORMATION SYSTEMS AND DESIGN</t>
  </si>
  <si>
    <t>Techniques used for determining technological needs of businesses; building and managing systems to meet those needs; development roles of individuals and organizations; planning and management of concepts, personnel and processes; related software tools (spreadsheets, databases). Intended primarily for Management and Organizational Studies students.</t>
  </si>
  <si>
    <t>Computer Science 1033A/B MULTIMEDIA AND COMMUNICATION I</t>
  </si>
  <si>
    <t>This course explores the use of different types of media (e.g., text, images, sound, animation) to convey ideas and facilitate interaction. Topics include the design and use of a range of software tools for media creation and editing, covering image, sound, animation and video. This knowledge will be applied to authoring web sites.</t>
  </si>
  <si>
    <t>Computer Science 1037A/B COMPUTER SCIENCE FUNDAMENTALS II</t>
  </si>
  <si>
    <t>A continuation for Engineering Science 1036A/B. Data organization and manipulation; abstract data types and their implementations in an object-oriented setting (C++); lists, stacks, queues, trees; pointers; recursion; file handling and storage. Intended for students in the Faculty of Engineering.</t>
  </si>
  <si>
    <t>Computer Science 1046A/B APPROACHABLE APPS: AN INTRODUCTION TO PROGRAMMING USING JAVASCRIPT</t>
  </si>
  <si>
    <t>Foundations of app development for the web and mobile devices. An introduction to basic programming and scripting concepts, and technologies such as JavaScript, HTML, and CSS, which will be used to create a variety of apps and games. This course is intended for students with no prior programming or computing background.</t>
  </si>
  <si>
    <t>Computer Science 2033A/B MULTIMEDIA AND COMMUNICATION II</t>
  </si>
  <si>
    <t>This course continues the exploration of popular media and Internet technologies. Topics include making websites more interactive, more searchable and easier to update; digital marketing; e-commerce; social integration; and mobile applications. Students will practice concepts using industry standard tools and software.</t>
  </si>
  <si>
    <t>Computer Science 2034A/B DATA ANALYTICS: PRINCIPLES AND TOOLS</t>
  </si>
  <si>
    <t>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t>
  </si>
  <si>
    <t>Computer Science 2035A/B DEALING WITH DATA: ANALYSIS AND VISUALIZATION</t>
  </si>
  <si>
    <t>Essential skills and computational tools for working with data from a number of disciplines. Uses MATLAB for data analysis and visualization through basic statistics, numerical computing, and programming, with interdisciplinary applications ranging from image processing to financial computing, and more. Suitable for both Computer Science and non-Computer Science students.</t>
  </si>
  <si>
    <t>Computer Science 2050F/G THE EVOLUTION OF COMPUTING AND COMPUTERS</t>
  </si>
  <si>
    <t>A survey course on the cultural, political, economic, military, and technological history leading to the development of the modern computer and its deployment within society; providing students with a historic context for understanding developments such as web technologies and trends, satellite imagery, virtual reality, artificial intelligence, and ubiquitous computing.</t>
  </si>
  <si>
    <t>Computer Science 2101A/B FOUNDATIONS OF PROGRAMMING FOR HIGH PERFORMANCE COMPUTING</t>
  </si>
  <si>
    <t>An introduction to fundamental programming skills in the context of High Performance Computing (HPC), exploring tools, techniques, and theory used in the creation of HPC applications for a wide variety of domains. Topics include data structures and algorithms for HPC, computer achitectures, and applications. Suitable for non Computer Science students.</t>
  </si>
  <si>
    <t>Computer Science 2120A/B MODERN SURVIVAL SKILLS I: CODING ESSENTIALS</t>
  </si>
  <si>
    <t>Essential information processing and coding skills for students. Includes core concepts of algorithms and data structures; creating programs and scripts to address problems that arise in applied research; examples of data sets and analyses drawn from a variety of disciplines. No previous programming background assumed.</t>
  </si>
  <si>
    <t>Computer Science 2121A/B MODERN SURVIVAL SKILLS II: PROBLEM SOLVING THROUGH PROGRAMMING</t>
  </si>
  <si>
    <t>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t>
  </si>
  <si>
    <t>Computer Science 2124A/B INTRODUCTION TO MEDICAL COMPUTING</t>
  </si>
  <si>
    <t>This course introduces computing fundamentals as they relate to medical computing. A series of topics is covered, including topics selected from: health information systems and standards, data privacy, medical imaging, modeling, simulation and data analysis, computer-aided diagnosis, embedded software in instruments, computer-aided procedures and telemedicine.</t>
  </si>
  <si>
    <t>Computer Science 2125F/G INTRODUCTION TO MEDICAL COMPUTING</t>
  </si>
  <si>
    <t>This course will cover the same material as Computer Science 2124A/B, but will also provide students with the opportunity to enhance their essay-writing skills while pursuing assignments and/or projects involving medical computing.</t>
  </si>
  <si>
    <t>Computer Science 2208A/B INTRODUCTION TO COMPUTER ORGANIZATION AND ARCHITECTURE</t>
  </si>
  <si>
    <t>This course gives an understanding of what a modern computer can do. It covers the internal representation of various data types and focuses on the architectural components of computers (how these components are interconnected and the nature of the information flow between them). Assembly language is used to reinforce these issues.</t>
  </si>
  <si>
    <t>Computer Science 2209A/B APPLIED LOGIC FOR COMPUTER SCIENCE</t>
  </si>
  <si>
    <t>Propositional and predicate logic; representing static and dynamic properties of real-world systems; logic as a tool for representation, reasoning and calculation; logic and programming.</t>
  </si>
  <si>
    <t>Computer Science 2210A/B DATA STRUCTURES AND ALGORITHMS</t>
  </si>
  <si>
    <t>Lists, stacks, queues, priority queues, trees, graphs, and their associated algorithms; file structures; sorting, searching, and hashing techniques; time and space complexity.</t>
  </si>
  <si>
    <t>Computer Science 2211A/B SOFTWARE TOOLS AND SYSTEMS PROGRAMMING</t>
  </si>
  <si>
    <t>An introduction to software tools and systems programming. Topics include: understanding how programs execute (compilation, linking and loading); an introduction to a complex operating system (UNIX); scripting languages; the C programming language; system calls; memory management; libraries; multi-component program organization and builds; version control; debuggers and profilers.</t>
  </si>
  <si>
    <t>Computer Science 2212A/B/Y INTRODUCTION TO SOFTWARE ENGINEERING</t>
  </si>
  <si>
    <t>A team project course that provides practical experience in the software engineering field. Introduction to the structure and unique characteristics of large software systems, and concepts and techniques in the design, management and implementation of large software systems.</t>
  </si>
  <si>
    <t>Computer Science 2214A/B DISCRETE STRUCTURES FOR COMPUTING</t>
  </si>
  <si>
    <t>This course presents an introduction to the mathematical foundations of computer science, with an emphasis on mathematical reasoning, combinatorial analysis, discrete structures, applications and modeling, and algorithmic thinking. Topics include sets, functions, relations, algorithms, number theory, matrices, mathematical reasoning, counting, graphs and trees.</t>
  </si>
  <si>
    <t>Computer Science 3101A/B THEORY AND PRACTICE OF HIGH PERFORMANCE COMPUTING</t>
  </si>
  <si>
    <t>A comprehensive exploration of High Performance Computing (HPC), examining advanced theory and practice in the creation of HPC applications for a wide variety of domains. Topics include programming shared and distributed memory machines, multicore and manycore architectures, optimization techniques and performance analysis. Suitable for non Computer Science students.</t>
  </si>
  <si>
    <t>Computer Science 3120A/B DATABASES FOR INFORMATICS AND ANALYTICS</t>
  </si>
  <si>
    <t>A study of relational databases. Theoretical concepts will be covered, including relational algebra and relational calculus. Commercially available database systems will be used to demonstrate concepts such as Structured-Query-Language (SQL), writing code to connect and query a database, query optimization, Atomicity-Consistency-Isolation-Durability (ACID) concepts, and database design.</t>
  </si>
  <si>
    <t>Computer Science 3121A/B ARTIFICIAL INTELLIGENCE FOR INFORMATICS AND ANALYTICS</t>
  </si>
  <si>
    <t>An introduction to artificial intelligence, focused on its application to informatics and analytics. Topics include knowledge representation; logic and reasoning; searching; inferencing; expert systems. Suitable for non Computer Science students.</t>
  </si>
  <si>
    <t>Computer Science 3305A/B OPERATING SYSTEMS</t>
  </si>
  <si>
    <t>Survey of major operating systems; interprocess communication; multi-tasking; scheduling; memory management; performance and measurement issues; trade-offs in operating system design; concurrency and deadlock.</t>
  </si>
  <si>
    <t>Computer Science 3307A/B/Y OBJECT-ORIENTED DESIGN AND ANALYSIS</t>
  </si>
  <si>
    <t>Software design and analysis techniques with particular emphasis on object-oriented design and analysis; a team project will be developed using an object-oriented language such as Java, C++ or Smalltalk.</t>
  </si>
  <si>
    <t>Computer Science 3319A/B DATABASES I</t>
  </si>
  <si>
    <t>Computer Science 3331A/B FOUNDATIONS OF COMPUTER SCIENCE I</t>
  </si>
  <si>
    <t>Languages as sets of strings over an alphabet; operations on languages; finite automata, regular expressions; language hierarchy; Turing machines; models of computation.</t>
  </si>
  <si>
    <t>Computer Science 3333A/B SELECTED TOPICS</t>
  </si>
  <si>
    <t>Special topics on the frontiers of Computer Science. The topic may vary each year.</t>
  </si>
  <si>
    <t>Computer Science 3335A/B/Y SELECTED TOPICS</t>
  </si>
  <si>
    <t>Computer Science 3336A/B/Y SELECTED TOPICS</t>
  </si>
  <si>
    <t>Computer Science 3340A/B ANALYSIS OF ALGORITHMS I</t>
  </si>
  <si>
    <t>Upper and lower time and space bounds; levels of intractability; graph algorithms; greedy algorithms; dynamic algorithms; exhaustive search techniques; parallel algorithms.</t>
  </si>
  <si>
    <t>Computer Science 3342A/B ORGANIZATION OF PROGRAMMING LANGUAGES</t>
  </si>
  <si>
    <t>Specification and analysis of programming languages; data types and structures; bindings and access structures; run-time behavior of programs; compilation vs. interpretation. Comparative presentation of at least three programming languages addressing the above concepts.</t>
  </si>
  <si>
    <t>Computer Science 3346A/B ARTIFICIAL INTELLIGENCE I</t>
  </si>
  <si>
    <t>Introduction to Artificial Intelligence; logic programming; heuristic search; knowledge representation; expert systems.</t>
  </si>
  <si>
    <t>Computer Science 3350A/B COMPUTER ORGANIZATION</t>
  </si>
  <si>
    <t>Topics include: semiconductor technologies, gates and circuits, buses, semiconductor memories, peripheral interfaces, I/O techniques, A/D conversion, standards, RISC.</t>
  </si>
  <si>
    <t>Computer Science 3357A/B COMPUTER NETWORKS I</t>
  </si>
  <si>
    <t>Common network protocols; inter-networking; gateways; routers; bridges; survey of commercial architectures; standards.</t>
  </si>
  <si>
    <t>Computer Science 3377A/B SOFTWARE PROJECT MANAGEMENT</t>
  </si>
  <si>
    <t>The software development life cycle; resourcing, scheduling and estimating techniques for software project management; project management organizational concerns, including project economic analysis, human resources, proposal development, risk management, software implementation, and technology-strategic alignment.</t>
  </si>
  <si>
    <t>Computer Science 3380F/G/Z PROJECT</t>
  </si>
  <si>
    <t>A supervised study involving a research paper, the design of or development of a software project.</t>
  </si>
  <si>
    <t>Computer Science 3388A/B COMPUTER GRAPHICS I</t>
  </si>
  <si>
    <t>The viewing pipeline; clipping and visibility problems. The graphical kernel system; picture generation and user interfaces.</t>
  </si>
  <si>
    <t>Computer Science 4402A/B DISTRIBUTED AND PARALLEL SYSTEMS</t>
  </si>
  <si>
    <t>Issues arising in distributed and parallel systems and applications; related architectures such as connection machines, shared memory multiprocessors.</t>
  </si>
  <si>
    <t>Computer Science 4411A/B DATABASES II</t>
  </si>
  <si>
    <t>Advanced database topics such as: query optimization and execution; advanced concurrency control and recovery concepts; distributed databases; XML databases; database security and privacy; databases in the cloud; information retrieval.</t>
  </si>
  <si>
    <t>Computer Science 4413A/B CRYPTOGRAPHY AND SECURITY</t>
  </si>
  <si>
    <t>Survey of the principles and practice of cryptography and network security: classical cryptography, public-key cryptography and cryptographic protocols, network and system security.</t>
  </si>
  <si>
    <t>Computer Science 4416A/B DATA SCIENCE II</t>
  </si>
  <si>
    <t>Students will learn to develop and extend data science methods in order to solve new problems. Approaches covered will include convex loss/regularization, graphical models, and neural networks.</t>
  </si>
  <si>
    <t>Computer Science 4417A/B UNSTRUCTURED DATA</t>
  </si>
  <si>
    <t>Management and analysis of unstructured data, with a focus on text data, for example transaction logs, news text, article abstracts, and microblogs. Overview of unstructured image, audio, and video data. Hands-on experience with modern distributed data management and analysis infrastructure.</t>
  </si>
  <si>
    <t>Computer Science 4418A/B INTRODUCTION TO VISUAL ANALYTICS</t>
  </si>
  <si>
    <t>Students will learn how to conceptualize and design systems that integrate data visualization, interactive machine learning, and human-data interaction to support complex data-driven analytical tasks and activities which humans encounter in different fields. Visual analytics concepts and components will be studied in the context of human-centred computing.</t>
  </si>
  <si>
    <t>Computer Science 4433A/B/Y SELECTED TOPICS</t>
  </si>
  <si>
    <t>Advanced Computer Science topics, reflecting current research interests within the Department. The particular topics will be available from the Department prior to registration.</t>
  </si>
  <si>
    <t>Computer Science 4434A/B/Y SELECTED TOPICS</t>
  </si>
  <si>
    <t>Computer Science 4435A/B/Y SELECTED TOPICS</t>
  </si>
  <si>
    <t>Computer Science 4436A/B/Y SELECTED TOPICS</t>
  </si>
  <si>
    <t>Computer Science topics, reflecting current research interests within the Department. The particular topics will be available from the Department prior to registration.</t>
  </si>
  <si>
    <t>Computer Science 4437A/B/Y SELECTED TOPICS</t>
  </si>
  <si>
    <t>Computer Science 4438A/B/Y SELECTED TOPICS</t>
  </si>
  <si>
    <t>Computer Science 4442A/B ARTIFICIAL INTELLIGENCE II</t>
  </si>
  <si>
    <t>A selection from: first order logic and theorem proving; computational linguistics; computer vision; robotics; knowledge acquisition; machine learning.</t>
  </si>
  <si>
    <t>Computer Science 4445A/B ANALYSIS OF ALGORTIHMS II</t>
  </si>
  <si>
    <t>Parallel, distributed, probabilistic, and geometric algorithms; design and analysis; computational geometry; fractals and graphtals.</t>
  </si>
  <si>
    <t>Computer Science 4447A/B COMPILER THEORY</t>
  </si>
  <si>
    <t>Syntax-directed translation; LR(k), LL(k), attribute grammars; code generation; optimization; compiler compilers; code generator generators.</t>
  </si>
  <si>
    <t>Computer Science 4457A/B/Y COMPUTER NETWORKS II</t>
  </si>
  <si>
    <t>Network layering, performance, management, modelling and simulation; faults and failures.</t>
  </si>
  <si>
    <t>Computer Science 4460Z BIOINFORMATICS THESIS</t>
  </si>
  <si>
    <t>A project or research paper in an area related to bioinformatics, completed under faculty supervision. An oral presentation plus a written submission will be required.</t>
  </si>
  <si>
    <t>Computer Science 4461A/B BIOINFORMATICS TOOLS AND APPLICATIONS</t>
  </si>
  <si>
    <t>Introduction to popular bioinformatics software tools and their applications in solving complex biological problems; analysis of the algorithms behind bioinformatics tools.</t>
  </si>
  <si>
    <t>Computer Science 4463A/B COMPUTATIONAL BIOLOGY</t>
  </si>
  <si>
    <t>Bioinformatics studies biological problems using biological, computational, and mathematical methods. Computational biology studies computational techniques that can solve biological problems efficiently. This course emphasizes the design, analysis and implementation of algorithms for problems motivated from molecular biology research.</t>
  </si>
  <si>
    <t>Computer Science 4470Y SOFTWARE MAINTENANCE AND CONFIGURATION MANAGMENT</t>
  </si>
  <si>
    <t>An examination of industrial-style software development issues related to managing and maintaining large-scale software systems; in a group project, students will examine software maintenance and configuration management concepts, tools, techniques, risks and benefits; case studies.</t>
  </si>
  <si>
    <t>Computer Science 4471A/B SOFTWARE DESIGN AND ARCHITECTURE</t>
  </si>
  <si>
    <t>Introduction to advanced software design concepts; architectures of complex software systems; domain-independent design patterns; creation of a functional partitioning for a novel domain; recognition of common architectural idioms.</t>
  </si>
  <si>
    <t>Computer Science 4472A/B SPECIFICATION TESTING AND QUALITY</t>
  </si>
  <si>
    <t>Concepts and state of the art techniques in software specification and quality assessment for software engineering; quality attributes; formal specification and analysis; verification and validation.</t>
  </si>
  <si>
    <t>Computer Science 4473A/B REQUIREMENT ANALYSIS</t>
  </si>
  <si>
    <t>The development of requirements for software-intensive systems through successful requirements analysis techniques and requirements engineering; an in-depth study of methods, tools, notations, and validation techniques for the analysis and specification of software requirements.</t>
  </si>
  <si>
    <t>Computer Science 4474A/B HUMAN-COMPUTER INTERACTION</t>
  </si>
  <si>
    <t>Exposure to topics in human-computer interaction, including: frameworks for human-computer interaction; requirements gathering; rapid prototyping; user interface systems and tool kits.</t>
  </si>
  <si>
    <t>Computer Science 4475A/B OPEN SOURCE SOFTWARE PROJECT</t>
  </si>
  <si>
    <t>An examination of large-scale software development in the context of a distributed, multi-university open source software project organized by the Undergraduate Capstone Open Source Projects (UCOSP) initiative (see http://ucosp.ca for details). Students will receive practical hands-on experience in working in software development, as well as valuable soft skills and team experience.</t>
  </si>
  <si>
    <t>Computer Science 4476A/B/Y SUMMER OF CODE</t>
  </si>
  <si>
    <t>An examination of open source software development through Google's annual Summer of Code program. Students are exposed to real-world software development scenarios in mentored projects from a number of open source projects, gaining valuable and practical skills and experience in open source software development and maintenance.</t>
  </si>
  <si>
    <t>Computer Science 4478A/B/Y MASTER THE MAINFRAME</t>
  </si>
  <si>
    <t>The mainframe remains a critical piece of infrastructure for enterprise computing, with experts highly sought after by industry. This course studies the mainframe through IBM's annual Master the Mainframe program. Students are exposed to real-world development through hands-on projects, gaining valuable experience and skills for working with modern mainframe systems.</t>
  </si>
  <si>
    <t>Computer Science 4480Y GAME DEVELOPMENT PROJECT</t>
  </si>
  <si>
    <t>Industrial-style development issues related to the creation of games of commercial scale and quality, both for entertainment and serious game applications; in a group project, students will examine concepts, theories, tools, technologies, and techniques for code and content generation for modern games.</t>
  </si>
  <si>
    <t>Computer Science 4481A/B IMAGE COMPRESSION</t>
  </si>
  <si>
    <t>Dealing with digital pictures (images) requires far more computer memory and transmission time than is needed for plain text. This course provides students with a solid understanding of the fundamentals and the principles of various digital still-image compression schemes.</t>
  </si>
  <si>
    <t>Computer Science 4482A/B GAME PROGRAMMING</t>
  </si>
  <si>
    <t>Core concepts and techniques of game programming, including the development and usage of game engines for the creation of games. Topics from: game engine architecture; real-time 2D and 3D rendering; character animation; shaders; real-time physics simulation, artificial intelligence, and networking; procedural methods; player input and controls; platform considerations; tools development.</t>
  </si>
  <si>
    <t>Computer Science 4483A/B GAME DESIGN</t>
  </si>
  <si>
    <t>Concepts and issues that arise in the development of games for entertainment and serious game applications, focusing on providing players with more engaging, immersive, and rewarding gameplay experiences. Group project normally required.</t>
  </si>
  <si>
    <t>Computer Science 4487A/B ALGORITHMS FOR IMAGE ANALYSIS</t>
  </si>
  <si>
    <t>Fundamental concepts in computer and robot vision, medical image analysis, photo/video editing and graphics; problems such as image segmentation, registration, correspondence, matching, object recognition, tracking, stereo, texture synthesis; gradient descent, dynamic programming, graph-based optimization, techniques from computational geometry.</t>
  </si>
  <si>
    <t>Computer Science 4490Z THESIS</t>
  </si>
  <si>
    <t>A project or research paper completed with minimal faculty supervision. An oral presentation plus a written submission will be required.</t>
  </si>
  <si>
    <t>Digital Humanities 2120F/G DIGITAL CREATIVITY</t>
  </si>
  <si>
    <t>From recent work in arts, neuroscience and business to exemplary cases of present-day creativity, this course studies and fosters innovation. It provides hands-on experience and collaborative work that will lead to the development of a creative idea into a business plan.</t>
  </si>
  <si>
    <t>Digital Humanities 2121F/G SPECIAL TOPICS IN DIGITAL HUMANITIES</t>
  </si>
  <si>
    <t>Please consult with the Department for current course offerings.</t>
  </si>
  <si>
    <t>Digital Humanities 2122F/G SPECIAL TOPICS IN DIGITAL HUMANITIES</t>
  </si>
  <si>
    <t>Digital Humanities 2123F/G SPECIAL TOPICS IN DIGITAL HUMANITIES</t>
  </si>
  <si>
    <t>Digital Humanities 2124F/G SPECIAL TOPICS IN DIGITAL HUMANITIES</t>
  </si>
  <si>
    <t>Digital Humanities 2125F/G SPECIAL TOPICS IN DIGITAL HUMANITIES</t>
  </si>
  <si>
    <t>Digital Humanities 2126F/G ETHICS FOR A DIGITAL WORLD</t>
  </si>
  <si>
    <t>Through social media, computer gaming, and virtual communities, we spend a considerable portion of our lives in the digital world. What moral considerations ought to guide our conduct as digital citizens? This class will explore cases of online ethical challenges and theories that might provide some answers.</t>
  </si>
  <si>
    <t>Digital Humanities 2127A/B CREATIVITY STUDIO</t>
  </si>
  <si>
    <t>Practice and enhance your creativity with hands-on creative collaborative exercises, learning to develop a personal business plan and learning the fundamentals of solving problems with design thinking.</t>
  </si>
  <si>
    <t>Digital Humanities 2130A/B INTRODUCTION TO DIGITAL HISTORY</t>
  </si>
  <si>
    <t>In this course students will learn how historical content is produced, presented and published online; how to find and evaluate digital primary and secondary sources; and how to use computational techniques to work with digital resources. No previous background in the subject area is required.</t>
  </si>
  <si>
    <t>Digital Humanities 2144A/B DATA ANALYTICS: PRINCIPLES AND TOOLS</t>
  </si>
  <si>
    <t>Digital Humanities 2220A/B COMPUTING AND INFORMATICS FOR THE HUMANITIES I</t>
  </si>
  <si>
    <t>Essential information processing skills for humanities students. Includes an introduction to programming; creating programs and scripts to address problems that arise in applied research; examples of data sets and projects drawn from different areas of the humanities and social science. No previous formal programming background required.</t>
  </si>
  <si>
    <t>Digital Humanities 2221A/B MODERN SURVIVAL SKILLS II: PROBLEM SOLVING THROUGH PROGRAMMING</t>
  </si>
  <si>
    <t>Digital Humanities 2222A/B HUMAN-CENTRED DESIGN</t>
  </si>
  <si>
    <t>Learn how to use human-centered design to solve practical problems across domains and businesses. Get to know the main ideas and history of human design. This is a practical, handson course. The main outcome is the production of a human design portfolio.</t>
  </si>
  <si>
    <t>Digital Humanities 2223A/B DIGITAL TRANSFORMATION</t>
  </si>
  <si>
    <t>Conceptual and analytical tools to understand the digital momentum of an organization and learning of tools to plan its digital transformation.</t>
  </si>
  <si>
    <t>Digital Humanities 2224F/G DIGITAL STRATEGY</t>
  </si>
  <si>
    <t>Strategic tools to set the direction and pace of a digital organization according to its values, customers, technology and platforms.</t>
  </si>
  <si>
    <t>Digital Humanities 2301F/G DIGITAL FASHION</t>
  </si>
  <si>
    <t>How is the digital world changing fashion? Learn how the web changes how we shop, how designers change the way they create and showcase products, how trending sites move opinions about what is cool, and how new technologies let us play with digital design.</t>
  </si>
  <si>
    <t>Digital Humanities 2302F/G CONNECTING CULTURES</t>
  </si>
  <si>
    <t>How is Shakespeare connected to Cervantes, New York to Tokyo, Baroque painting to video games? Cultural networks grow in time and space through the creation of links among their elements. Through a set of digital tools, this course focuses on the discovery of connections that make culture possible.</t>
  </si>
  <si>
    <t>Digital Humanities 2303F/G CULTURE, IDENTITY AND COMMUNITY IN VIRTUAL WORLDS</t>
  </si>
  <si>
    <t>This course explores virtual worlds with a focus upon their articulations of new digital forms of identity, community, art, and communication. How does the extension of the "human" into virtual space impact our understanding of ourselves? How can virtual worlds help us reappraise who we are and what we do?</t>
  </si>
  <si>
    <t>Digital Humanities 2304A/B DATA, A NEW BEST FRIEND FOR THE HUMANIST</t>
  </si>
  <si>
    <t>This course will cover theoretical aspects of the new use of data by humanists of different disciplines. It will serve as an introduction to the techniques and methods commonly used to make sense of data in a humanities context, such as social network analysis, generative writing, text mining or machine learning.</t>
  </si>
  <si>
    <t>Digital Humanities 2921F/G SPECIAL TOPICS IN DIGITAL HUMANITIES</t>
  </si>
  <si>
    <t>Digital Humanities 2922F/G SPECIAL TOPICS IN DIGITAL HUMANITIES</t>
  </si>
  <si>
    <t>Digital Humanities 2923F/G SPECIAL TOPICS IN DIGITAL HUMANITIES</t>
  </si>
  <si>
    <t>Digital Humanities 2924F/G SPECIAL TOPICS IN DIGITAL HUMANITIES</t>
  </si>
  <si>
    <t>Digital Humanities 2925F/G SPECIAL TOPICS IN DIGITAL HUMANITIES</t>
  </si>
  <si>
    <t>Digital Humanities 3100A/B DESIGN-BASED INNOVATION</t>
  </si>
  <si>
    <t>Learn the practical tools and the theories to foster innovation in organizations based on human design principles and practices.</t>
  </si>
  <si>
    <t>Digital Humanities 3120A/B TRANSMEDIA STORYTELLING</t>
  </si>
  <si>
    <t>Skills to effectively tell your story across multiple media and platforms.</t>
  </si>
  <si>
    <t>Digital Humanities 3220A/B DATABASES FOR THE HUMANITIES</t>
  </si>
  <si>
    <t>Digital Humanities 3221A/B DATA VISUALIZATION</t>
  </si>
  <si>
    <t>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t>
  </si>
  <si>
    <t>Digital Humanities 3304F/G ELECTRONIC TEXTUALITY AND DIGITAL ARCHIVES</t>
  </si>
  <si>
    <t>A combination of hands-on instruction in Text Encoding Guidelines for electronic texts and digital archive and a theoretical exploration of issues involved in editing, marking up, and structuring of texts and archival materials. Students will create their own digital edition or archive using XML and HTML5.</t>
  </si>
  <si>
    <t>Digital Humanities 3401F/G VISUALIZING CULTURAL OBJECTS</t>
  </si>
  <si>
    <t>Focus on visualizing and capturing cultural objects in order to preserve them, to permit consultation or to allow detailed analysis. Students will use instrumentation ranging from a simple camera to laser scanners and microCT scanners. Captured objects range from simple projections on a screen to fully immersive 3D environments.</t>
  </si>
  <si>
    <t>Digital Humanities 3402F/G EXPERIMENTAL HISTORY</t>
  </si>
  <si>
    <t>A hands-on workshop supplementing traditional historical and ethnographic methods with new modes of inquiry and expression. Students study experimental works, while working in a variety of new media including code; electronics and physical computing; 3D printing; alternate, augmented and mixed reality games; graphic novels; 3D photography; machinima and digital puppetry.</t>
  </si>
  <si>
    <t>Digital Humanities 3501F/G ADVANCED SOCIAL NETWORKING</t>
  </si>
  <si>
    <t>This course examines in depth the theories and methods of social network analysis. People, cultural artifacts, and historical events are all interconnected in complex ways. Students learn how to apply social network analysis to examine the interconnectedness of nodes and thereby better understand the resulting social, economic, and cultural consequences.</t>
  </si>
  <si>
    <t>Digital Humanities 3600F/G/Z INTERNSHIP WITH DIGITAL HUMANITIES</t>
  </si>
  <si>
    <t>The Academic Internship is an unpaid, credit internship with minimum of 60 hours. The internship will require students to make connections with academic study while undertaking supervised duties in organizations, businesses or community groups with interests related to Digital Humanities.</t>
  </si>
  <si>
    <t>Digital Humanities 3902F/G SPECIAL TOPICS IN DIGITAL HUMANITIES</t>
  </si>
  <si>
    <t>Digital Humanities 3903F/G SPECIAL TOPICS IN DIGITAL HUMANITIES</t>
  </si>
  <si>
    <t>Digital Humanities 3904F/G SPECIAL TOPICS IN DIGITAL HUMANITIES</t>
  </si>
  <si>
    <t>Digital Humanities 3905F/G SPECIAL TOPICS IN DIGITAL HUMANITIES</t>
  </si>
  <si>
    <t>Digital Humanities 1011A/B PROGRAMMING MY DIGITAL LIFE</t>
  </si>
  <si>
    <t>This is a first course in programming for students of all backgrounds. Topics include images, video, sound, and text; user interface; interaction design; web services and APIs; and microcontroller platforms like Arduino and Phidgets. Students complete a series of projects on animation, installation art, electronic music, theatre, visualization, and/or robotics.</t>
  </si>
  <si>
    <t>Course Descriptions…</t>
  </si>
  <si>
    <t>https://www.westerncalendar.uwo.ca/Courses.cfm?Subject=COMPSCI&amp;SelectedCalendar=Live&amp;ArchiveID=</t>
  </si>
  <si>
    <t>https://www.westerncalendar.uwo.ca/Courses.cfm?Subject=DIGIHUM&amp;SelectedCalendar=Live&amp;ArchiveID=</t>
  </si>
  <si>
    <t>The information in the tab "courseD" comes from these pages</t>
  </si>
  <si>
    <t>Describe a method that could transform these pages into the information in the tab.</t>
  </si>
  <si>
    <t>Which tools would you use to transform these pages into the information in the tab.</t>
  </si>
  <si>
    <t>What information is in the columns of "courseD"?</t>
  </si>
  <si>
    <t>Task 1</t>
  </si>
  <si>
    <t>:</t>
  </si>
  <si>
    <t>.</t>
  </si>
  <si>
    <t>,</t>
  </si>
  <si>
    <t>-</t>
  </si>
  <si>
    <t>?</t>
  </si>
  <si>
    <t>;</t>
  </si>
  <si>
    <t>(</t>
  </si>
  <si>
    <t>)</t>
  </si>
  <si>
    <t>+</t>
  </si>
  <si>
    <t>"</t>
  </si>
  <si>
    <t>Honing the descriptions for search</t>
  </si>
  <si>
    <t>(If you mess this up you can go to the formulas tab and fix it through "Name Manger")</t>
  </si>
  <si>
    <t>i</t>
  </si>
  <si>
    <t>!</t>
  </si>
  <si>
    <r>
      <t xml:space="preserve">Select "steps!F32:Q32" and click on the Name Box and name type </t>
    </r>
    <r>
      <rPr>
        <b/>
        <sz val="11"/>
        <color theme="1"/>
        <rFont val="等线"/>
        <family val="2"/>
        <scheme val="minor"/>
      </rPr>
      <t>Punctuation</t>
    </r>
  </si>
  <si>
    <t>m</t>
  </si>
  <si>
    <t>In "courseD!C:C", use CleanString on the course descriptions to remove punctuation.</t>
  </si>
  <si>
    <t>Copy this formula for all the rows in the table.</t>
  </si>
  <si>
    <t>(the function Lower() converts the String to lower case)</t>
  </si>
  <si>
    <t>game design</t>
  </si>
  <si>
    <t>Making a "simple" search interface</t>
  </si>
  <si>
    <t>We would like to create a simple search interface that lists all the course titles whose description contain a specified keyword.</t>
  </si>
  <si>
    <t>In search!a4, write the word "results" -- we plan to put the results in B4:B200</t>
  </si>
  <si>
    <t>In search!a1, write the word "keyword"  -- we will use  search!b1 to  contain the input</t>
  </si>
  <si>
    <t>To help differentiate the input and results select nice fill colours and borders</t>
  </si>
  <si>
    <t>(the goal of this Subroutine is to clear previous search results)</t>
  </si>
  <si>
    <t>Fix the ClearResults Subroutine that is in Module1.  (Look for the comments "fix this")</t>
  </si>
  <si>
    <t>Task 3</t>
  </si>
  <si>
    <t>data</t>
  </si>
  <si>
    <t>Fill in the number of results that come back for each of these key words</t>
  </si>
  <si>
    <t>information</t>
  </si>
  <si>
    <t>Fix the SimpleSearch Subroutine that is in Module1.  (Look for the comments "fix this")</t>
  </si>
  <si>
    <t>Explain why  the number of results with "game design"  is so low.</t>
  </si>
  <si>
    <t>(hover over the mini-icons within "Insert" to find "Button(Form Control)")</t>
  </si>
  <si>
    <r>
      <t xml:space="preserve">In the Developer tab, use the Insert to put two buttons that </t>
    </r>
    <r>
      <rPr>
        <b/>
        <sz val="11"/>
        <color theme="1"/>
        <rFont val="等线"/>
        <family val="2"/>
        <scheme val="minor"/>
      </rPr>
      <t>link</t>
    </r>
    <r>
      <rPr>
        <sz val="11"/>
        <color theme="1"/>
        <rFont val="等线"/>
        <family val="2"/>
        <scheme val="minor"/>
      </rPr>
      <t xml:space="preserve"> to our to sub routines.</t>
    </r>
  </si>
  <si>
    <r>
      <t xml:space="preserve">We are going to write a VBA Function called </t>
    </r>
    <r>
      <rPr>
        <b/>
        <sz val="11"/>
        <color theme="0"/>
        <rFont val="等线"/>
        <family val="2"/>
        <scheme val="minor"/>
      </rPr>
      <t>CleanString</t>
    </r>
    <r>
      <rPr>
        <sz val="11"/>
        <color theme="0"/>
        <rFont val="等线"/>
        <family val="2"/>
        <scheme val="minor"/>
      </rPr>
      <t xml:space="preserve"> to remove some unwanted elements. In this case, we are going to use it to remove punctuation.</t>
    </r>
  </si>
  <si>
    <t>course description</t>
    <phoneticPr fontId="3" type="noConversion"/>
  </si>
  <si>
    <t>visual studio code</t>
    <phoneticPr fontId="3" type="noConversion"/>
  </si>
  <si>
    <t>Use regular expression to eliminate useless info.
^[E|P| |W].*$  - to eliminate useless lines like return and prerequisites
^Anti.*$ - to eliminate "Antirequisites" lines
^[C][o][u][r][s][e].*$ - to eliminate "Course weight" lines
^\s*\n - to eliminate blank lines
 \D$\n - | to eliminate returns and fits classes into one line each</t>
    <phoneticPr fontId="3" type="noConversion"/>
  </si>
  <si>
    <t>'</t>
    <phoneticPr fontId="3" type="noConversion"/>
  </si>
  <si>
    <t>So in courseD!C1, type =CleanString(Lower(B1),Punctuation)</t>
    <phoneticPr fontId="3" type="noConversion"/>
  </si>
  <si>
    <t>keyword</t>
    <phoneticPr fontId="12" type="noConversion"/>
  </si>
  <si>
    <t>results</t>
    <phoneticPr fontId="12" type="noConversion"/>
  </si>
  <si>
    <t>Because there is no course teaching game design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</si>
</sst>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等线"/>
      <family val="2"/>
      <scheme val="minor"/>
    </font>
    <font>
      <sz val="11"/>
      <color theme="1"/>
      <name val="等线"/>
      <family val="2"/>
      <scheme val="minor"/>
    </font>
    <font>
      <b/>
      <sz val="11"/>
      <color theme="1"/>
      <name val="等线"/>
      <family val="2"/>
      <scheme val="minor"/>
    </font>
    <font>
      <sz val="8"/>
      <name val="等线"/>
      <family val="2"/>
      <scheme val="minor"/>
    </font>
    <font>
      <b/>
      <i/>
      <sz val="11"/>
      <color theme="1"/>
      <name val="等线"/>
      <family val="2"/>
      <scheme val="minor"/>
    </font>
    <font>
      <sz val="11"/>
      <name val="等线"/>
      <family val="2"/>
      <scheme val="minor"/>
    </font>
    <font>
      <b/>
      <sz val="12"/>
      <color theme="1"/>
      <name val="等线"/>
      <family val="2"/>
      <scheme val="minor"/>
    </font>
    <font>
      <sz val="12"/>
      <color theme="1"/>
      <name val="等线"/>
      <family val="2"/>
      <scheme val="minor"/>
    </font>
    <font>
      <sz val="12"/>
      <color rgb="FF000000"/>
      <name val="Consolas"/>
      <family val="3"/>
    </font>
    <font>
      <sz val="11"/>
      <color theme="2" tint="-0.249977111117893"/>
      <name val="等线"/>
      <family val="2"/>
      <scheme val="minor"/>
    </font>
    <font>
      <b/>
      <sz val="11"/>
      <color theme="0"/>
      <name val="等线"/>
      <family val="2"/>
      <scheme val="minor"/>
    </font>
    <font>
      <sz val="11"/>
      <color theme="0"/>
      <name val="等线"/>
      <family val="2"/>
      <scheme val="minor"/>
    </font>
    <font>
      <sz val="9"/>
      <name val="等线"/>
      <family val="3"/>
      <charset val="134"/>
      <scheme val="minor"/>
    </font>
    <font>
      <sz val="11"/>
      <color rgb="FF000000"/>
      <name val="等线"/>
      <family val="3"/>
      <charset val="134"/>
    </font>
  </fonts>
  <fills count="6">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8" tint="0.79998168889431442"/>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2" borderId="0" xfId="0" applyFont="1" applyFill="1"/>
    <xf numFmtId="0" fontId="2" fillId="2" borderId="0" xfId="0" applyFont="1" applyFill="1" applyAlignment="1">
      <alignment horizontal="center"/>
    </xf>
    <xf numFmtId="0" fontId="0" fillId="0" borderId="0" xfId="0" applyAlignment="1">
      <alignment horizontal="center"/>
    </xf>
    <xf numFmtId="0" fontId="0" fillId="0" borderId="1" xfId="0" applyBorder="1"/>
    <xf numFmtId="0" fontId="4" fillId="4" borderId="0" xfId="0" applyFont="1" applyFill="1"/>
    <xf numFmtId="0" fontId="0" fillId="3" borderId="0" xfId="0" applyFill="1" applyAlignment="1">
      <alignment wrapText="1"/>
    </xf>
    <xf numFmtId="9" fontId="2" fillId="4" borderId="0" xfId="1" applyFont="1" applyFill="1"/>
    <xf numFmtId="0" fontId="5" fillId="0" borderId="0" xfId="0" applyFont="1" applyAlignment="1">
      <alignment horizontal="center"/>
    </xf>
    <xf numFmtId="0" fontId="0" fillId="0" borderId="0" xfId="0" applyAlignment="1">
      <alignment horizontal="left"/>
    </xf>
    <xf numFmtId="0" fontId="6" fillId="0" borderId="0" xfId="0" applyFont="1"/>
    <xf numFmtId="0" fontId="0" fillId="0" borderId="0" xfId="0" applyAlignment="1">
      <alignment horizontal="left" wrapText="1"/>
    </xf>
    <xf numFmtId="0" fontId="0" fillId="0" borderId="0" xfId="0" applyAlignment="1"/>
    <xf numFmtId="0" fontId="0" fillId="0" borderId="0" xfId="0" quotePrefix="1"/>
    <xf numFmtId="0" fontId="0" fillId="0" borderId="0" xfId="0" quotePrefix="1" applyAlignment="1"/>
    <xf numFmtId="0" fontId="0" fillId="5" borderId="0" xfId="0" applyFill="1"/>
    <xf numFmtId="0" fontId="0" fillId="0" borderId="0" xfId="0" applyAlignment="1">
      <alignment horizontal="left" wrapText="1"/>
    </xf>
    <xf numFmtId="0" fontId="7" fillId="0" borderId="0" xfId="0" applyFont="1"/>
    <xf numFmtId="0" fontId="8" fillId="0" borderId="0" xfId="0" applyFont="1" applyAlignment="1">
      <alignment vertical="center"/>
    </xf>
    <xf numFmtId="0" fontId="7" fillId="0" borderId="0" xfId="0" quotePrefix="1" applyFont="1"/>
    <xf numFmtId="0" fontId="9" fillId="0" borderId="0" xfId="0" applyFont="1"/>
    <xf numFmtId="0" fontId="11" fillId="0" borderId="3" xfId="0" applyFont="1" applyFill="1" applyBorder="1"/>
    <xf numFmtId="0" fontId="11" fillId="0" borderId="3" xfId="0" quotePrefix="1" applyFont="1" applyFill="1" applyBorder="1"/>
    <xf numFmtId="0" fontId="0" fillId="0" borderId="0" xfId="0" applyAlignment="1">
      <alignment horizontal="left" wrapText="1"/>
    </xf>
    <xf numFmtId="0" fontId="0" fillId="5" borderId="0" xfId="0" applyFill="1" applyAlignment="1">
      <alignment horizontal="left" wrapText="1"/>
    </xf>
    <xf numFmtId="0" fontId="0" fillId="5" borderId="0" xfId="0" applyFill="1" applyAlignment="1">
      <alignment horizontal="left"/>
    </xf>
    <xf numFmtId="0" fontId="0" fillId="4" borderId="0" xfId="0" applyFill="1" applyAlignment="1">
      <alignment horizontal="center"/>
    </xf>
    <xf numFmtId="0" fontId="0" fillId="4" borderId="2" xfId="0" applyFill="1" applyBorder="1" applyAlignment="1">
      <alignment horizontal="center"/>
    </xf>
    <xf numFmtId="0" fontId="11" fillId="0" borderId="0" xfId="0" applyFont="1" applyAlignment="1">
      <alignment horizontal="left" wrapText="1"/>
    </xf>
  </cellXfs>
  <cellStyles count="2">
    <cellStyle name="Normal" xfId="0" builtinId="0"/>
    <cellStyle name="Percent" xfId="1" builtinId="5"/>
  </cellStyles>
  <dxfs count="12">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47</xdr:row>
          <xdr:rowOff>133350</xdr:rowOff>
        </xdr:from>
        <xdr:to>
          <xdr:col>10</xdr:col>
          <xdr:colOff>47625</xdr:colOff>
          <xdr:row>49</xdr:row>
          <xdr:rowOff>28575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ClearResults</a:t>
              </a:r>
            </a:p>
            <a:p>
              <a:pPr algn="ctr" rtl="0">
                <a:defRPr sz="1000"/>
              </a:pPr>
              <a:endParaRPr lang="zh-CN"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49</xdr:row>
          <xdr:rowOff>57150</xdr:rowOff>
        </xdr:from>
        <xdr:to>
          <xdr:col>10</xdr:col>
          <xdr:colOff>47625</xdr:colOff>
          <xdr:row>50</xdr:row>
          <xdr:rowOff>142875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SimpleSearch</a:t>
              </a:r>
            </a:p>
            <a:p>
              <a:pPr algn="ctr" rtl="0">
                <a:defRPr sz="1000"/>
              </a:pPr>
              <a:endParaRPr lang="zh-CN" altLang="en-US" sz="1100" b="0" i="0" u="none" strike="noStrike" baseline="0">
                <a:solidFill>
                  <a:srgbClr val="000000"/>
                </a:solidFill>
                <a:latin typeface="等线"/>
                <a:ea typeface="等线"/>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1</xdr:col>
          <xdr:colOff>542925</xdr:colOff>
          <xdr:row>2</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ClearResults</a:t>
              </a:r>
            </a:p>
            <a:p>
              <a:pPr algn="ctr" rtl="0">
                <a:defRPr sz="1000"/>
              </a:pPr>
              <a:endParaRPr lang="zh-CN"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1</xdr:row>
          <xdr:rowOff>9525</xdr:rowOff>
        </xdr:from>
        <xdr:to>
          <xdr:col>1</xdr:col>
          <xdr:colOff>1781175</xdr:colOff>
          <xdr:row>2</xdr:row>
          <xdr:rowOff>95250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SimpleSearch</a:t>
              </a:r>
            </a:p>
            <a:p>
              <a:pPr algn="ctr" rtl="0">
                <a:defRPr sz="1000"/>
              </a:pPr>
              <a:endParaRPr lang="zh-CN" altLang="en-US" sz="1100" b="0" i="0" u="none" strike="noStrike" baseline="0">
                <a:solidFill>
                  <a:srgbClr val="000000"/>
                </a:solidFill>
                <a:latin typeface="等线"/>
                <a:ea typeface="等线"/>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FC0D-9195-49E4-8B01-F31BBA8283E9}">
  <sheetPr codeName="Sheet1"/>
  <dimension ref="A1:R65"/>
  <sheetViews>
    <sheetView tabSelected="1" workbookViewId="0">
      <pane ySplit="1" topLeftCell="A5" activePane="bottomLeft" state="frozen"/>
      <selection pane="bottomLeft" activeCell="R19" sqref="R19"/>
    </sheetView>
  </sheetViews>
  <sheetFormatPr defaultRowHeight="14.25" x14ac:dyDescent="0.2"/>
  <cols>
    <col min="1" max="1" width="8.375" style="3" customWidth="1"/>
    <col min="2" max="2" width="3.25" customWidth="1"/>
    <col min="3" max="3" width="26.625" customWidth="1"/>
    <col min="4" max="4" width="39.875" customWidth="1"/>
    <col min="5" max="5" width="13.125" customWidth="1"/>
    <col min="6" max="17" width="2" customWidth="1"/>
  </cols>
  <sheetData>
    <row r="1" spans="1:9" x14ac:dyDescent="0.2">
      <c r="A1" s="26" t="s">
        <v>1</v>
      </c>
      <c r="B1" s="27"/>
      <c r="C1" s="4">
        <v>251016121</v>
      </c>
      <c r="D1" s="5" t="str">
        <f ca="1">hidden!B1</f>
        <v>Welcome to String searching Shenghua!</v>
      </c>
      <c r="E1" s="7">
        <f ca="1">SUM(A:A)/COUNT(A:A)</f>
        <v>1</v>
      </c>
      <c r="I1" s="13"/>
    </row>
    <row r="2" spans="1:9" ht="29.1" customHeight="1" x14ac:dyDescent="0.2">
      <c r="D2" s="6" t="s">
        <v>301</v>
      </c>
    </row>
    <row r="3" spans="1:9" ht="15.75" x14ac:dyDescent="0.25">
      <c r="A3" s="2" t="s">
        <v>513</v>
      </c>
      <c r="B3" s="1"/>
      <c r="C3" s="10" t="s">
        <v>506</v>
      </c>
    </row>
    <row r="4" spans="1:9" ht="15" customHeight="1" x14ac:dyDescent="0.2">
      <c r="A4" s="8"/>
      <c r="B4" t="str">
        <f>IF(ISBLANK(A4),"",COUNT(A$4:A4))</f>
        <v/>
      </c>
      <c r="C4" s="23" t="str">
        <f>hidden!C8</f>
        <v>The information in the tab "courseD" comes from these pages</v>
      </c>
      <c r="D4" s="23"/>
    </row>
    <row r="5" spans="1:9" ht="14.1" customHeight="1" x14ac:dyDescent="0.2">
      <c r="A5" s="8"/>
      <c r="B5" t="str">
        <f>IF(ISBLANK(A5),"",COUNT(A$4:A5))</f>
        <v/>
      </c>
      <c r="C5" s="9" t="s">
        <v>507</v>
      </c>
      <c r="D5" s="11"/>
    </row>
    <row r="6" spans="1:9" ht="14.1" customHeight="1" x14ac:dyDescent="0.2">
      <c r="A6" s="8"/>
      <c r="C6" s="9" t="s">
        <v>508</v>
      </c>
      <c r="D6" s="16"/>
    </row>
    <row r="7" spans="1:9" x14ac:dyDescent="0.2">
      <c r="A7" s="3">
        <f>IF(ISBLANK(C9),0,1)</f>
        <v>1</v>
      </c>
      <c r="B7">
        <f>IF(ISBLANK(A7),"",COUNT(A$4:A7))</f>
        <v>1</v>
      </c>
      <c r="C7" s="12" t="s">
        <v>512</v>
      </c>
      <c r="D7" s="12"/>
    </row>
    <row r="8" spans="1:9" x14ac:dyDescent="0.2">
      <c r="C8" s="12"/>
      <c r="D8" s="12"/>
    </row>
    <row r="9" spans="1:9" x14ac:dyDescent="0.2">
      <c r="C9" s="15" t="s">
        <v>550</v>
      </c>
      <c r="D9" s="12"/>
    </row>
    <row r="10" spans="1:9" x14ac:dyDescent="0.2">
      <c r="C10" s="12"/>
      <c r="D10" s="12"/>
    </row>
    <row r="11" spans="1:9" x14ac:dyDescent="0.2">
      <c r="A11" s="3">
        <f>IF(ISBLANK(C13),0,1)</f>
        <v>1</v>
      </c>
      <c r="B11">
        <f>IF(ISBLANK(A11),"",COUNT(A$4:A11))</f>
        <v>2</v>
      </c>
      <c r="C11" s="12" t="s">
        <v>511</v>
      </c>
      <c r="D11" s="12"/>
    </row>
    <row r="12" spans="1:9" x14ac:dyDescent="0.2">
      <c r="C12" s="12"/>
      <c r="D12" s="12"/>
    </row>
    <row r="13" spans="1:9" x14ac:dyDescent="0.2">
      <c r="C13" s="15" t="s">
        <v>551</v>
      </c>
      <c r="D13" s="12"/>
    </row>
    <row r="14" spans="1:9" x14ac:dyDescent="0.2">
      <c r="C14" s="12"/>
      <c r="D14" s="12"/>
    </row>
    <row r="15" spans="1:9" x14ac:dyDescent="0.2">
      <c r="A15" s="3">
        <f>IF(ISBLANK(C17),0,1)</f>
        <v>1</v>
      </c>
      <c r="B15">
        <f>IF(ISBLANK(A15),"",COUNT(A$4:A15))</f>
        <v>3</v>
      </c>
      <c r="C15" s="14" t="s">
        <v>510</v>
      </c>
      <c r="D15" s="12"/>
    </row>
    <row r="16" spans="1:9" x14ac:dyDescent="0.2">
      <c r="C16" s="12"/>
      <c r="D16" s="12"/>
    </row>
    <row r="17" spans="1:18" ht="84.75" customHeight="1" x14ac:dyDescent="0.2">
      <c r="C17" s="24" t="s">
        <v>552</v>
      </c>
      <c r="D17" s="24"/>
    </row>
    <row r="18" spans="1:18" x14ac:dyDescent="0.2">
      <c r="C18" s="12"/>
      <c r="D18" s="12"/>
    </row>
    <row r="20" spans="1:18" ht="15.75" x14ac:dyDescent="0.25">
      <c r="A20" s="2" t="s">
        <v>302</v>
      </c>
      <c r="B20" s="1"/>
      <c r="C20" s="10" t="s">
        <v>524</v>
      </c>
    </row>
    <row r="21" spans="1:18" ht="47.45" customHeight="1" x14ac:dyDescent="0.25">
      <c r="A21" s="8">
        <f ca="1">IFERROR(IF(AND(_xlfn.ISFORMULA(C24),NOT(ISBLANK(C24))),1,0),0)</f>
        <v>1</v>
      </c>
      <c r="B21">
        <f ca="1">IF(ISBLANK(A21),"",COUNT(A$21:A21))</f>
        <v>1</v>
      </c>
      <c r="C21" s="9" t="str">
        <f>hidden!C15</f>
        <v>In C30, test your Function on C28 where you remove F28:G28</v>
      </c>
      <c r="D21" s="16"/>
      <c r="E21" s="17"/>
      <c r="F21" s="18"/>
      <c r="G21" s="17"/>
      <c r="H21" s="17"/>
      <c r="I21" s="17"/>
      <c r="J21" s="17"/>
      <c r="K21" s="17"/>
      <c r="L21" s="17"/>
      <c r="M21" s="17"/>
      <c r="N21" s="17"/>
      <c r="O21" s="17"/>
      <c r="P21" s="17"/>
      <c r="Q21" s="19"/>
      <c r="R21" s="17"/>
    </row>
    <row r="22" spans="1:18" ht="15.6" customHeight="1" x14ac:dyDescent="0.25">
      <c r="A22" s="8"/>
      <c r="C22" s="9" t="str">
        <f ca="1">hidden!C14</f>
        <v xml:space="preserve">Shenghua rules! Shenghua rules! Shenghua rules! </v>
      </c>
      <c r="D22" s="16"/>
      <c r="E22" s="17"/>
      <c r="F22" s="18" t="str">
        <f ca="1">hidden!C16</f>
        <v>h</v>
      </c>
      <c r="G22" s="17" t="s">
        <v>527</v>
      </c>
      <c r="H22" s="17"/>
      <c r="I22" s="17"/>
      <c r="J22" s="17"/>
      <c r="K22" s="17"/>
      <c r="L22" s="17"/>
      <c r="M22" s="17"/>
      <c r="N22" s="17"/>
      <c r="O22" s="17"/>
      <c r="P22" s="17"/>
      <c r="Q22" s="19"/>
      <c r="R22" s="17"/>
    </row>
    <row r="23" spans="1:18" ht="15.75" x14ac:dyDescent="0.25">
      <c r="A23" s="8"/>
      <c r="B23" t="str">
        <f>IF(ISBLANK(A23),"",COUNT(A$21:A23))</f>
        <v/>
      </c>
      <c r="C23" s="12"/>
      <c r="D23" s="12"/>
      <c r="E23" s="17"/>
      <c r="F23" s="17"/>
      <c r="G23" s="17"/>
      <c r="H23" s="17"/>
      <c r="I23" s="17"/>
      <c r="J23" s="17"/>
      <c r="K23" s="17"/>
      <c r="L23" s="17"/>
      <c r="M23" s="17"/>
      <c r="N23" s="17"/>
      <c r="O23" s="17"/>
      <c r="P23" s="17"/>
      <c r="Q23" s="17"/>
      <c r="R23" s="17"/>
    </row>
    <row r="24" spans="1:18" ht="15.75" x14ac:dyDescent="0.25">
      <c r="B24" t="str">
        <f>IF(ISBLANK(A24),"",COUNT(A$21:A24))</f>
        <v/>
      </c>
      <c r="C24" s="15" t="str" cm="1">
        <f t="array" aca="1" ref="C24" ca="1">CleanString(C22,F22:G22)</f>
        <v xml:space="preserve">Sengua rules Sengua rules Sengua rules </v>
      </c>
      <c r="E24" s="17"/>
      <c r="F24" s="17"/>
      <c r="G24" s="17"/>
      <c r="H24" s="17"/>
      <c r="I24" s="17"/>
      <c r="J24" s="17"/>
      <c r="K24" s="17"/>
      <c r="L24" s="17"/>
      <c r="M24" s="17"/>
      <c r="N24" s="17"/>
      <c r="O24" s="17"/>
      <c r="P24" s="17"/>
      <c r="Q24" s="17"/>
      <c r="R24" s="17"/>
    </row>
    <row r="25" spans="1:18" ht="15.75" x14ac:dyDescent="0.25">
      <c r="C25" s="16"/>
      <c r="D25" s="16"/>
      <c r="E25" s="17"/>
      <c r="F25" s="17"/>
      <c r="G25" s="17"/>
      <c r="H25" s="17"/>
      <c r="I25" s="17"/>
      <c r="J25" s="17"/>
      <c r="K25" s="17"/>
      <c r="L25" s="17"/>
      <c r="M25" s="17"/>
      <c r="N25" s="17"/>
      <c r="O25" s="17"/>
      <c r="P25" s="17"/>
      <c r="Q25" s="17"/>
      <c r="R25" s="17"/>
    </row>
    <row r="26" spans="1:18" ht="15.75" x14ac:dyDescent="0.25">
      <c r="A26" s="8">
        <f ca="1">IFERROR((COUNTA(INDIRECT("Punctuation"))-1)/11,0)</f>
        <v>1</v>
      </c>
      <c r="B26">
        <f ca="1">IF(ISBLANK(A26),"",COUNT(A$21:A26))</f>
        <v>2</v>
      </c>
      <c r="C26" s="9" t="s">
        <v>528</v>
      </c>
      <c r="D26" s="16"/>
      <c r="E26" s="17"/>
      <c r="F26" s="18" t="s">
        <v>514</v>
      </c>
      <c r="G26" s="17" t="s">
        <v>515</v>
      </c>
      <c r="H26" s="17" t="s">
        <v>516</v>
      </c>
      <c r="I26" s="17" t="s">
        <v>517</v>
      </c>
      <c r="J26" s="17" t="s">
        <v>518</v>
      </c>
      <c r="K26" s="17" t="s">
        <v>519</v>
      </c>
      <c r="L26" s="17" t="s">
        <v>522</v>
      </c>
      <c r="M26" s="17" t="s">
        <v>520</v>
      </c>
      <c r="N26" s="17" t="s">
        <v>521</v>
      </c>
      <c r="O26" s="17" t="s">
        <v>514</v>
      </c>
      <c r="P26" s="17" t="s">
        <v>523</v>
      </c>
      <c r="Q26" s="19" t="s">
        <v>553</v>
      </c>
      <c r="R26" s="17"/>
    </row>
    <row r="27" spans="1:18" ht="15.75" x14ac:dyDescent="0.25">
      <c r="A27" s="8"/>
      <c r="C27" s="9" t="s">
        <v>525</v>
      </c>
      <c r="D27" s="16"/>
      <c r="E27" s="17"/>
      <c r="F27" s="18"/>
      <c r="G27" s="17"/>
      <c r="H27" s="17"/>
      <c r="I27" s="17"/>
      <c r="J27" s="17"/>
      <c r="K27" s="17"/>
      <c r="L27" s="17"/>
      <c r="M27" s="17"/>
      <c r="N27" s="17"/>
      <c r="O27" s="17"/>
      <c r="P27" s="17"/>
      <c r="Q27" s="19"/>
      <c r="R27" s="17"/>
    </row>
    <row r="28" spans="1:18" x14ac:dyDescent="0.2">
      <c r="A28" s="8"/>
      <c r="B28" t="str">
        <f>IF(ISBLANK(A28),"",COUNT(A$21:A28))</f>
        <v/>
      </c>
      <c r="C28" s="12"/>
      <c r="D28" s="12"/>
    </row>
    <row r="29" spans="1:18" x14ac:dyDescent="0.2">
      <c r="A29" s="3">
        <f>IF(AND(COUNTA(courseD!C:C)=112,_xlfn.ISFORMULA(courseD!C1)),1,0)</f>
        <v>1</v>
      </c>
      <c r="B29">
        <f ca="1">IF(ISBLANK(A29),"",COUNT(A$21:A29))</f>
        <v>3</v>
      </c>
      <c r="C29" t="s">
        <v>530</v>
      </c>
    </row>
    <row r="30" spans="1:18" x14ac:dyDescent="0.2">
      <c r="B30" t="str">
        <f>IF(ISBLANK(A30),"",COUNT(A$21:A30))</f>
        <v/>
      </c>
      <c r="C30" t="s">
        <v>554</v>
      </c>
    </row>
    <row r="31" spans="1:18" x14ac:dyDescent="0.2">
      <c r="C31" t="s">
        <v>532</v>
      </c>
    </row>
    <row r="32" spans="1:18" x14ac:dyDescent="0.2">
      <c r="C32" t="s">
        <v>531</v>
      </c>
    </row>
    <row r="34" spans="1:4" ht="15.75" x14ac:dyDescent="0.25">
      <c r="A34" s="2" t="s">
        <v>541</v>
      </c>
      <c r="B34" s="1"/>
      <c r="C34" s="10" t="s">
        <v>534</v>
      </c>
    </row>
    <row r="35" spans="1:4" x14ac:dyDescent="0.2">
      <c r="B35" t="str">
        <f>IF(ISBLANK(A35),"",COUNT(A$4:A35))</f>
        <v/>
      </c>
      <c r="C35" s="23" t="str">
        <f>hidden!C22</f>
        <v>We would like to create a simple search interface that lists all the course titles whose description contain a specified keyword.</v>
      </c>
      <c r="D35" s="23"/>
    </row>
    <row r="37" spans="1:4" x14ac:dyDescent="0.2">
      <c r="A37" s="3">
        <f>IF(search!A1="keyword",1,0)</f>
        <v>1</v>
      </c>
      <c r="B37">
        <f>IF(ISBLANK(A37),"",COUNT(A$37:A37))</f>
        <v>1</v>
      </c>
      <c r="C37" t="s">
        <v>537</v>
      </c>
    </row>
    <row r="38" spans="1:4" x14ac:dyDescent="0.2">
      <c r="B38" t="str">
        <f>IF(ISBLANK(A38),"",COUNT(A$37:A38))</f>
        <v/>
      </c>
    </row>
    <row r="39" spans="1:4" x14ac:dyDescent="0.2">
      <c r="A39" s="3">
        <f>IF(search!A4="results",1,0)</f>
        <v>1</v>
      </c>
      <c r="B39">
        <f>IF(ISBLANK(A39),"",COUNT(A$37:A39))</f>
        <v>2</v>
      </c>
      <c r="C39" t="s">
        <v>536</v>
      </c>
    </row>
    <row r="40" spans="1:4" x14ac:dyDescent="0.2">
      <c r="B40" t="str">
        <f>IF(ISBLANK(A40),"",COUNT(A$37:A40))</f>
        <v/>
      </c>
    </row>
    <row r="41" spans="1:4" ht="37.5" customHeight="1" x14ac:dyDescent="0.2">
      <c r="B41" t="str">
        <f>IF(ISBLANK(A41),"",COUNT(A$37:A41))</f>
        <v/>
      </c>
      <c r="C41" t="s">
        <v>538</v>
      </c>
    </row>
    <row r="42" spans="1:4" x14ac:dyDescent="0.2">
      <c r="B42" t="str">
        <f>IF(ISBLANK(A42),"",COUNT(A$37:A42))</f>
        <v/>
      </c>
    </row>
    <row r="43" spans="1:4" x14ac:dyDescent="0.2">
      <c r="A43" s="3">
        <v>1</v>
      </c>
      <c r="B43">
        <f>IF(ISBLANK(A43),"",COUNT(A$37:A43))</f>
        <v>3</v>
      </c>
      <c r="C43" s="9" t="s">
        <v>540</v>
      </c>
    </row>
    <row r="44" spans="1:4" x14ac:dyDescent="0.2">
      <c r="B44" t="str">
        <f>IF(ISBLANK(A44),"",COUNT(A$37:A44))</f>
        <v/>
      </c>
      <c r="C44" t="s">
        <v>539</v>
      </c>
    </row>
    <row r="45" spans="1:4" x14ac:dyDescent="0.2">
      <c r="B45" t="str">
        <f>IF(ISBLANK(A45),"",COUNT(A$37:A45))</f>
        <v/>
      </c>
    </row>
    <row r="46" spans="1:4" x14ac:dyDescent="0.2">
      <c r="A46" s="3">
        <v>1</v>
      </c>
      <c r="B46">
        <f>IF(ISBLANK(A46),"",COUNT(A$37:A46))</f>
        <v>4</v>
      </c>
      <c r="C46" s="9" t="s">
        <v>545</v>
      </c>
    </row>
    <row r="47" spans="1:4" x14ac:dyDescent="0.2">
      <c r="B47" t="str">
        <f>IF(ISBLANK(A47),"",COUNT(A$37:A47))</f>
        <v/>
      </c>
      <c r="C47" t="s">
        <v>539</v>
      </c>
    </row>
    <row r="48" spans="1:4" x14ac:dyDescent="0.2">
      <c r="B48" t="str">
        <f>IF(ISBLANK(A48),"",COUNT(A$37:A48))</f>
        <v/>
      </c>
    </row>
    <row r="49" spans="1:4" x14ac:dyDescent="0.2">
      <c r="A49" s="3">
        <v>1</v>
      </c>
      <c r="B49">
        <f>IF(ISBLANK(A49),"",COUNT(A$37:A49))</f>
        <v>5</v>
      </c>
      <c r="C49" t="s">
        <v>548</v>
      </c>
    </row>
    <row r="50" spans="1:4" x14ac:dyDescent="0.2">
      <c r="B50" t="str">
        <f>IF(ISBLANK(A50),"",COUNT(A$37:A50))</f>
        <v/>
      </c>
      <c r="C50" t="s">
        <v>547</v>
      </c>
    </row>
    <row r="51" spans="1:4" x14ac:dyDescent="0.2">
      <c r="B51" t="str">
        <f>IF(ISBLANK(A51),"",COUNT(A$37:A51))</f>
        <v/>
      </c>
    </row>
    <row r="52" spans="1:4" x14ac:dyDescent="0.2">
      <c r="B52" t="str">
        <f>IF(ISBLANK(A52),"",COUNT(A$37:A52))</f>
        <v/>
      </c>
      <c r="C52" t="s">
        <v>543</v>
      </c>
    </row>
    <row r="53" spans="1:4" x14ac:dyDescent="0.2">
      <c r="A53" s="3">
        <f>IF(D53=18,1,0)</f>
        <v>1</v>
      </c>
      <c r="B53">
        <f>IF(ISBLANK(A53),"",COUNT(A$37:A53))</f>
        <v>6</v>
      </c>
      <c r="C53" t="s">
        <v>542</v>
      </c>
      <c r="D53" s="15">
        <v>18</v>
      </c>
    </row>
    <row r="54" spans="1:4" x14ac:dyDescent="0.2">
      <c r="A54" s="3">
        <f>IF(D54=6,1,0)</f>
        <v>1</v>
      </c>
      <c r="B54">
        <f>IF(ISBLANK(A54),"",COUNT(A$37:A54))</f>
        <v>7</v>
      </c>
      <c r="C54" t="s">
        <v>544</v>
      </c>
      <c r="D54" s="15">
        <v>6</v>
      </c>
    </row>
    <row r="55" spans="1:4" x14ac:dyDescent="0.2">
      <c r="A55" s="3">
        <f>IF(AND(NOT(ISBLANK(D55)),D55=0),1,0)</f>
        <v>1</v>
      </c>
      <c r="B55">
        <f>IF(ISBLANK(A55),"",COUNT(A$37:A55))</f>
        <v>8</v>
      </c>
      <c r="C55" t="s">
        <v>533</v>
      </c>
      <c r="D55" s="15">
        <v>0</v>
      </c>
    </row>
    <row r="56" spans="1:4" x14ac:dyDescent="0.2">
      <c r="B56" t="str">
        <f>IF(ISBLANK(A56),"",COUNT(A$37:A56))</f>
        <v/>
      </c>
    </row>
    <row r="57" spans="1:4" x14ac:dyDescent="0.2">
      <c r="A57" s="3">
        <f>IF(ISBLANK(C59),0,1)</f>
        <v>1</v>
      </c>
      <c r="B57">
        <f>IF(ISBLANK(A57),"",COUNT(A$37:A57))</f>
        <v>9</v>
      </c>
      <c r="C57" t="s">
        <v>546</v>
      </c>
    </row>
    <row r="58" spans="1:4" x14ac:dyDescent="0.2">
      <c r="B58" t="str">
        <f>IF(ISBLANK(A58),"",COUNT(A$37:A58))</f>
        <v/>
      </c>
    </row>
    <row r="59" spans="1:4" x14ac:dyDescent="0.2">
      <c r="B59" t="str">
        <f>IF(ISBLANK(A59),"",COUNT(A$37:A59))</f>
        <v/>
      </c>
      <c r="C59" s="25" t="s">
        <v>557</v>
      </c>
      <c r="D59" s="25"/>
    </row>
    <row r="60" spans="1:4" x14ac:dyDescent="0.2">
      <c r="B60" t="str">
        <f>IF(ISBLANK(A60),"",COUNT(A$37:A60))</f>
        <v/>
      </c>
    </row>
    <row r="61" spans="1:4" x14ac:dyDescent="0.2">
      <c r="B61" t="str">
        <f>IF(ISBLANK(A61),"",COUNT(A$37:A61))</f>
        <v/>
      </c>
    </row>
    <row r="65" ht="57.95" customHeight="1" x14ac:dyDescent="0.2"/>
  </sheetData>
  <mergeCells count="5">
    <mergeCell ref="C17:D17"/>
    <mergeCell ref="C35:D35"/>
    <mergeCell ref="C59:D59"/>
    <mergeCell ref="A1:B1"/>
    <mergeCell ref="C4:D4"/>
  </mergeCells>
  <phoneticPr fontId="3" type="noConversion"/>
  <conditionalFormatting sqref="B2:B10 B16:B18 B29:B31 B20:B23">
    <cfRule type="expression" dxfId="11" priority="102">
      <formula>A2=1</formula>
    </cfRule>
  </conditionalFormatting>
  <conditionalFormatting sqref="B24">
    <cfRule type="expression" dxfId="10" priority="26">
      <formula>A24=1</formula>
    </cfRule>
  </conditionalFormatting>
  <conditionalFormatting sqref="A1:A10 A29:A33 A36:A1048576 A16:A24">
    <cfRule type="expression" dxfId="9" priority="25">
      <formula>_xlfn.ISFORMULA(A1)</formula>
    </cfRule>
  </conditionalFormatting>
  <conditionalFormatting sqref="B15">
    <cfRule type="expression" dxfId="8" priority="11">
      <formula>A15=1</formula>
    </cfRule>
  </conditionalFormatting>
  <conditionalFormatting sqref="A15">
    <cfRule type="expression" dxfId="7" priority="10">
      <formula>_xlfn.ISFORMULA(A15)</formula>
    </cfRule>
  </conditionalFormatting>
  <conditionalFormatting sqref="B11:B14">
    <cfRule type="expression" dxfId="6" priority="9">
      <formula>A11=1</formula>
    </cfRule>
  </conditionalFormatting>
  <conditionalFormatting sqref="A11:A14">
    <cfRule type="expression" dxfId="5" priority="8">
      <formula>_xlfn.ISFORMULA(A11)</formula>
    </cfRule>
  </conditionalFormatting>
  <conditionalFormatting sqref="B25:B28">
    <cfRule type="expression" dxfId="4" priority="5">
      <formula>A25=1</formula>
    </cfRule>
  </conditionalFormatting>
  <conditionalFormatting sqref="A25:A28">
    <cfRule type="expression" dxfId="3" priority="4">
      <formula>_xlfn.ISFORMULA(A25)</formula>
    </cfRule>
  </conditionalFormatting>
  <conditionalFormatting sqref="B34:B35">
    <cfRule type="expression" dxfId="2" priority="3">
      <formula>A34=1</formula>
    </cfRule>
  </conditionalFormatting>
  <conditionalFormatting sqref="A34:A35">
    <cfRule type="expression" dxfId="1" priority="2">
      <formula>_xlfn.ISFORMULA(A34)</formula>
    </cfRule>
  </conditionalFormatting>
  <conditionalFormatting sqref="B37:B61">
    <cfRule type="expression" dxfId="0" priority="1">
      <formula>A37=1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learResults">
                <anchor moveWithCells="1">
                  <from>
                    <xdr:col>4</xdr:col>
                    <xdr:colOff>581025</xdr:colOff>
                    <xdr:row>47</xdr:row>
                    <xdr:rowOff>133350</xdr:rowOff>
                  </from>
                  <to>
                    <xdr:col>10</xdr:col>
                    <xdr:colOff>47625</xdr:colOff>
                    <xdr:row>49</xdr:row>
                    <xdr:rowOff>28575</xdr:rowOff>
                  </to>
                </anchor>
              </controlPr>
            </control>
          </mc:Choice>
        </mc:AlternateContent>
        <mc:AlternateContent xmlns:mc="http://schemas.openxmlformats.org/markup-compatibility/2006">
          <mc:Choice Requires="x14">
            <control shapeId="1027" r:id="rId5" name="Button 3">
              <controlPr defaultSize="0" print="0" autoFill="0" autoPict="0" macro="[0]!SimpleSearch">
                <anchor moveWithCells="1">
                  <from>
                    <xdr:col>4</xdr:col>
                    <xdr:colOff>581025</xdr:colOff>
                    <xdr:row>49</xdr:row>
                    <xdr:rowOff>57150</xdr:rowOff>
                  </from>
                  <to>
                    <xdr:col>10</xdr:col>
                    <xdr:colOff>47625</xdr:colOff>
                    <xdr:row>50</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5FC31-6736-4250-8E23-EC3CA11852FB}">
  <sheetPr codeName="Sheet3"/>
  <dimension ref="A1:C112"/>
  <sheetViews>
    <sheetView topLeftCell="A88" workbookViewId="0">
      <selection activeCell="C1" sqref="C1"/>
    </sheetView>
  </sheetViews>
  <sheetFormatPr defaultRowHeight="14.25" x14ac:dyDescent="0.2"/>
  <cols>
    <col min="1" max="1" width="50.375" style="20" customWidth="1"/>
    <col min="2" max="2" width="8.75" style="20"/>
  </cols>
  <sheetData>
    <row r="1" spans="1:3" x14ac:dyDescent="0.2">
      <c r="A1" s="20" t="s">
        <v>305</v>
      </c>
      <c r="B1" s="20" t="s">
        <v>306</v>
      </c>
      <c r="C1" t="str" cm="1">
        <f t="array" ref="C1">CleanString(LOWER(B1),Punctuation)</f>
        <v>the technological successes that have led to the internets wide adoption for work and social purposes the ways in which computer technology has led to more compact representation of data and faster more reliable and more secure communication intended primarily for students not in computer science</v>
      </c>
    </row>
    <row r="2" spans="1:3" x14ac:dyDescent="0.2">
      <c r="A2" s="20" t="s">
        <v>307</v>
      </c>
      <c r="B2" s="20" t="s">
        <v>308</v>
      </c>
      <c r="C2" t="str" cm="1">
        <f t="array" ref="C2">CleanString(LOWER(B2),Punctuation)</f>
        <v>the nature of computer science as a discipline the design and analysis of algorithms and their implementation as modular reliable welldocumented programs written in a modern programming language intended for students with significant programming experience in at least one highlevel blockstructured or objectoriented language</v>
      </c>
    </row>
    <row r="3" spans="1:3" x14ac:dyDescent="0.2">
      <c r="A3" s="20" t="s">
        <v>309</v>
      </c>
      <c r="B3" s="20" t="s">
        <v>310</v>
      </c>
      <c r="C3" t="str" cm="1">
        <f t="array" ref="C3">CleanString(LOWER(B3),Punctuation)</f>
        <v>the nature of computer science as a discipline the design and analysis of algorithms and their implementation as modular reliable welldocumented programs written in a modern programming language intended for students with little or no background in programming</v>
      </c>
    </row>
    <row r="4" spans="1:3" x14ac:dyDescent="0.2">
      <c r="A4" s="20" t="s">
        <v>311</v>
      </c>
      <c r="B4" s="20" t="s">
        <v>312</v>
      </c>
      <c r="C4" t="str" cm="1">
        <f t="array" ref="C4">CleanString(LOWER(B4),Punctuation)</f>
        <v>a continuation for both computer science 1025a/b and computer science 1026a/b data organization and manipulation abstract data types and their implementations in a modern programming language lists stacks queues trees pointers recursion file handling and storage</v>
      </c>
    </row>
    <row r="5" spans="1:3" x14ac:dyDescent="0.2">
      <c r="A5" s="20" t="s">
        <v>313</v>
      </c>
      <c r="B5" s="20" t="s">
        <v>314</v>
      </c>
      <c r="C5" t="str" cm="1">
        <f t="array" ref="C5">CleanString(LOWER(B5),Punctuation)</f>
        <v>techniques used for determining technological needs of businesses building and managing systems to meet those needs development roles of individuals and organizations planning and management of concepts personnel and processes related software tools spreadsheets databases intended primarily for management and organizational studies students</v>
      </c>
    </row>
    <row r="6" spans="1:3" x14ac:dyDescent="0.2">
      <c r="A6" s="20" t="s">
        <v>315</v>
      </c>
      <c r="B6" s="20" t="s">
        <v>316</v>
      </c>
      <c r="C6" t="str" cm="1">
        <f t="array" ref="C6">CleanString(LOWER(B6),Punctuation)</f>
        <v>this course explores the use of different types of media eg text images sound animation to convey ideas and facilitate interaction topics include the design and use of a range of software tools for media creation and editing covering image sound animation and video this knowledge will be applied to authoring web sites</v>
      </c>
    </row>
    <row r="7" spans="1:3" x14ac:dyDescent="0.2">
      <c r="A7" s="20" t="s">
        <v>317</v>
      </c>
      <c r="B7" s="20" t="s">
        <v>318</v>
      </c>
      <c r="C7" t="str" cm="1">
        <f t="array" ref="C7">CleanString(LOWER(B7),Punctuation)</f>
        <v>a continuation for engineering science 1036a/b data organization and manipulation abstract data types and their implementations in an objectoriented setting c lists stacks queues trees pointers recursion file handling and storage intended for students in the faculty of engineering</v>
      </c>
    </row>
    <row r="8" spans="1:3" x14ac:dyDescent="0.2">
      <c r="A8" s="20" t="s">
        <v>319</v>
      </c>
      <c r="B8" s="20" t="s">
        <v>320</v>
      </c>
      <c r="C8" t="str" cm="1">
        <f t="array" ref="C8">CleanString(LOWER(B8),Punctuation)</f>
        <v>foundations of app development for the web and mobile devices an introduction to basic programming and scripting concepts and technologies such as javascript html and css which will be used to create a variety of apps and games this course is intended for students with no prior programming or computing background</v>
      </c>
    </row>
    <row r="9" spans="1:3" x14ac:dyDescent="0.2">
      <c r="A9" s="20" t="s">
        <v>321</v>
      </c>
      <c r="B9" s="20" t="s">
        <v>322</v>
      </c>
      <c r="C9" t="str" cm="1">
        <f t="array" ref="C9">CleanString(LOWER(B9),Punctuation)</f>
        <v>this course continues the exploration of popular media and internet technologies topics include making websites more interactive more searchable and easier to update digital marketing ecommerce social integration and mobile applications students will practice concepts using industry standard tools and software</v>
      </c>
    </row>
    <row r="10" spans="1:3" x14ac:dyDescent="0.2">
      <c r="A10" s="20" t="s">
        <v>323</v>
      </c>
      <c r="B10" s="20" t="s">
        <v>324</v>
      </c>
      <c r="C10" t="str" cm="1">
        <f t="array" ref="C10">CleanString(LOWER(B10),Punctuation)</f>
        <v>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v>
      </c>
    </row>
    <row r="11" spans="1:3" x14ac:dyDescent="0.2">
      <c r="A11" s="20" t="s">
        <v>325</v>
      </c>
      <c r="B11" s="20" t="s">
        <v>326</v>
      </c>
      <c r="C11" t="str" cm="1">
        <f t="array" ref="C11">CleanString(LOWER(B11),Punctuation)</f>
        <v>essential skills and computational tools for working with data from a number of disciplines uses matlab for data analysis and visualization through basic statistics numerical computing and programming with interdisciplinary applications ranging from image processing to financial computing and more suitable for both computer science and noncomputer science students</v>
      </c>
    </row>
    <row r="12" spans="1:3" x14ac:dyDescent="0.2">
      <c r="A12" s="20" t="s">
        <v>327</v>
      </c>
      <c r="B12" s="20" t="s">
        <v>328</v>
      </c>
      <c r="C12" t="str" cm="1">
        <f t="array" ref="C12">CleanString(LOWER(B12),Punctuation)</f>
        <v>a survey course on the cultural political economic military and technological history leading to the development of the modern computer and its deployment within society providing students with a historic context for understanding developments such as web technologies and trends satellite imagery virtual reality artificial intelligence and ubiquitous computing</v>
      </c>
    </row>
    <row r="13" spans="1:3" x14ac:dyDescent="0.2">
      <c r="A13" s="20" t="s">
        <v>329</v>
      </c>
      <c r="B13" s="20" t="s">
        <v>330</v>
      </c>
      <c r="C13" t="str" cm="1">
        <f t="array" ref="C13">CleanString(LOWER(B13),Punctuation)</f>
        <v>an introduction to fundamental programming skills in the context of high performance computing hpc exploring tools techniques and theory used in the creation of hpc applications for a wide variety of domains topics include data structures and algorithms for hpc computer achitectures and applications suitable for non computer science students</v>
      </c>
    </row>
    <row r="14" spans="1:3" x14ac:dyDescent="0.2">
      <c r="A14" s="20" t="s">
        <v>331</v>
      </c>
      <c r="B14" s="20" t="s">
        <v>332</v>
      </c>
      <c r="C14" t="str" cm="1">
        <f t="array" ref="C14">CleanString(LOWER(B14),Punctuation)</f>
        <v>essential information processing and coding skills for students includes core concepts of algorithms and data structures creating programs and scripts to address problems that arise in applied research examples of data sets and analyses drawn from a variety of disciplines no previous programming background assumed</v>
      </c>
    </row>
    <row r="15" spans="1:3" x14ac:dyDescent="0.2">
      <c r="A15" s="20" t="s">
        <v>333</v>
      </c>
      <c r="B15" s="20" t="s">
        <v>334</v>
      </c>
      <c r="C15" t="str" cm="1">
        <f t="array" ref="C15">CleanString(LOWER(B15),Punctuation)</f>
        <v>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v>
      </c>
    </row>
    <row r="16" spans="1:3" x14ac:dyDescent="0.2">
      <c r="A16" s="20" t="s">
        <v>335</v>
      </c>
      <c r="B16" s="20" t="s">
        <v>336</v>
      </c>
      <c r="C16" t="str" cm="1">
        <f t="array" ref="C16">CleanString(LOWER(B16),Punctuation)</f>
        <v>this course introduces computing fundamentals as they relate to medical computing a series of topics is covered including topics selected from health information systems and standards data privacy medical imaging modeling simulation and data analysis computeraided diagnosis embedded software in instruments computeraided procedures and telemedicine</v>
      </c>
    </row>
    <row r="17" spans="1:3" x14ac:dyDescent="0.2">
      <c r="A17" s="20" t="s">
        <v>337</v>
      </c>
      <c r="B17" s="20" t="s">
        <v>338</v>
      </c>
      <c r="C17" t="str" cm="1">
        <f t="array" ref="C17">CleanString(LOWER(B17),Punctuation)</f>
        <v>this course will cover the same material as computer science 2124a/b but will also provide students with the opportunity to enhance their essaywriting skills while pursuing assignments and/or projects involving medical computing</v>
      </c>
    </row>
    <row r="18" spans="1:3" x14ac:dyDescent="0.2">
      <c r="A18" s="20" t="s">
        <v>339</v>
      </c>
      <c r="B18" s="20" t="s">
        <v>340</v>
      </c>
      <c r="C18" t="str" cm="1">
        <f t="array" ref="C18">CleanString(LOWER(B18),Punctuation)</f>
        <v>this course gives an understanding of what a modern computer can do it covers the internal representation of various data types and focuses on the architectural components of computers how these components are interconnected and the nature of the information flow between them assembly language is used to reinforce these issues</v>
      </c>
    </row>
    <row r="19" spans="1:3" x14ac:dyDescent="0.2">
      <c r="A19" s="20" t="s">
        <v>341</v>
      </c>
      <c r="B19" s="20" t="s">
        <v>342</v>
      </c>
      <c r="C19" t="str" cm="1">
        <f t="array" ref="C19">CleanString(LOWER(B19),Punctuation)</f>
        <v>propositional and predicate logic representing static and dynamic properties of realworld systems logic as a tool for representation reasoning and calculation logic and programming</v>
      </c>
    </row>
    <row r="20" spans="1:3" x14ac:dyDescent="0.2">
      <c r="A20" s="20" t="s">
        <v>343</v>
      </c>
      <c r="B20" s="20" t="s">
        <v>344</v>
      </c>
      <c r="C20" t="str" cm="1">
        <f t="array" ref="C20">CleanString(LOWER(B20),Punctuation)</f>
        <v>lists stacks queues priority queues trees graphs and their associated algorithms file structures sorting searching and hashing techniques time and space complexity</v>
      </c>
    </row>
    <row r="21" spans="1:3" x14ac:dyDescent="0.2">
      <c r="A21" s="20" t="s">
        <v>345</v>
      </c>
      <c r="B21" s="20" t="s">
        <v>346</v>
      </c>
      <c r="C21" t="str" cm="1">
        <f t="array" ref="C21">CleanString(LOWER(B21),Punctuation)</f>
        <v>an introduction to software tools and systems programming topics include understanding how programs execute compilation linking and loading an introduction to a complex operating system unix scripting languages the c programming language system calls memory management libraries multicomponent program organization and builds version control debuggers and profilers</v>
      </c>
    </row>
    <row r="22" spans="1:3" x14ac:dyDescent="0.2">
      <c r="A22" s="20" t="s">
        <v>347</v>
      </c>
      <c r="B22" s="20" t="s">
        <v>348</v>
      </c>
      <c r="C22" t="str" cm="1">
        <f t="array" ref="C22">CleanString(LOWER(B22),Punctuation)</f>
        <v>a team project course that provides practical experience in the software engineering field introduction to the structure and unique characteristics of large software systems and concepts and techniques in the design management and implementation of large software systems</v>
      </c>
    </row>
    <row r="23" spans="1:3" x14ac:dyDescent="0.2">
      <c r="A23" s="20" t="s">
        <v>349</v>
      </c>
      <c r="B23" s="20" t="s">
        <v>350</v>
      </c>
      <c r="C23" t="str" cm="1">
        <f t="array" ref="C23">CleanString(LOWER(B23),Punctuation)</f>
        <v>this course presents an introduction to the mathematical foundations of computer science with an emphasis on mathematical reasoning combinatorial analysis discrete structures applications and modeling and algorithmic thinking topics include sets functions relations algorithms number theory matrices mathematical reasoning counting graphs and trees</v>
      </c>
    </row>
    <row r="24" spans="1:3" x14ac:dyDescent="0.2">
      <c r="A24" s="20" t="s">
        <v>351</v>
      </c>
      <c r="B24" s="20" t="s">
        <v>352</v>
      </c>
      <c r="C24" t="str" cm="1">
        <f t="array" ref="C24">CleanString(LOWER(B24),Punctuation)</f>
        <v>a comprehensive exploration of high performance computing hpc examining advanced theory and practice in the creation of hpc applications for a wide variety of domains topics include programming shared and distributed memory machines multicore and manycore architectures optimization techniques and performance analysis suitable for non computer science students</v>
      </c>
    </row>
    <row r="25" spans="1:3" x14ac:dyDescent="0.2">
      <c r="A25" s="20" t="s">
        <v>353</v>
      </c>
      <c r="B25" s="20" t="s">
        <v>354</v>
      </c>
      <c r="C25" t="str" cm="1">
        <f t="array" ref="C25">CleanString(LOWER(B25),Punctuation)</f>
        <v>a study of relational databases theoretical concepts will be covered including relational algebra and relational calculus commercially available database systems will be used to demonstrate concepts such as structuredquerylanguage sql writing code to connect and query a database query optimization atomicityconsistencyisolationdurability acid concepts and database design</v>
      </c>
    </row>
    <row r="26" spans="1:3" x14ac:dyDescent="0.2">
      <c r="A26" s="20" t="s">
        <v>355</v>
      </c>
      <c r="B26" s="20" t="s">
        <v>356</v>
      </c>
      <c r="C26" t="str" cm="1">
        <f t="array" ref="C26">CleanString(LOWER(B26),Punctuation)</f>
        <v>an introduction to artificial intelligence focused on its application to informatics and analytics topics include knowledge representation logic and reasoning searching inferencing expert systems suitable for non computer science students</v>
      </c>
    </row>
    <row r="27" spans="1:3" x14ac:dyDescent="0.2">
      <c r="A27" s="20" t="s">
        <v>357</v>
      </c>
      <c r="B27" s="20" t="s">
        <v>358</v>
      </c>
      <c r="C27" t="str" cm="1">
        <f t="array" ref="C27">CleanString(LOWER(B27),Punctuation)</f>
        <v>survey of major operating systems interprocess communication multitasking scheduling memory management performance and measurement issues tradeoffs in operating system design concurrency and deadlock</v>
      </c>
    </row>
    <row r="28" spans="1:3" x14ac:dyDescent="0.2">
      <c r="A28" s="20" t="s">
        <v>359</v>
      </c>
      <c r="B28" s="20" t="s">
        <v>360</v>
      </c>
      <c r="C28" t="str" cm="1">
        <f t="array" ref="C28">CleanString(LOWER(B28),Punctuation)</f>
        <v>software design and analysis techniques with particular emphasis on objectoriented design and analysis a team project will be developed using an objectoriented language such as java c or smalltalk</v>
      </c>
    </row>
    <row r="29" spans="1:3" x14ac:dyDescent="0.2">
      <c r="A29" s="20" t="s">
        <v>361</v>
      </c>
      <c r="B29" s="20" t="s">
        <v>354</v>
      </c>
      <c r="C29" t="str" cm="1">
        <f t="array" ref="C29">CleanString(LOWER(B29),Punctuation)</f>
        <v>a study of relational databases theoretical concepts will be covered including relational algebra and relational calculus commercially available database systems will be used to demonstrate concepts such as structuredquerylanguage sql writing code to connect and query a database query optimization atomicityconsistencyisolationdurability acid concepts and database design</v>
      </c>
    </row>
    <row r="30" spans="1:3" x14ac:dyDescent="0.2">
      <c r="A30" s="20" t="s">
        <v>362</v>
      </c>
      <c r="B30" s="20" t="s">
        <v>363</v>
      </c>
      <c r="C30" t="str" cm="1">
        <f t="array" ref="C30">CleanString(LOWER(B30),Punctuation)</f>
        <v>languages as sets of strings over an alphabet operations on languages finite automata regular expressions language hierarchy turing machines models of computation</v>
      </c>
    </row>
    <row r="31" spans="1:3" x14ac:dyDescent="0.2">
      <c r="A31" s="20" t="s">
        <v>364</v>
      </c>
      <c r="B31" s="20" t="s">
        <v>365</v>
      </c>
      <c r="C31" t="str" cm="1">
        <f t="array" ref="C31">CleanString(LOWER(B31),Punctuation)</f>
        <v>special topics on the frontiers of computer science the topic may vary each year</v>
      </c>
    </row>
    <row r="32" spans="1:3" x14ac:dyDescent="0.2">
      <c r="A32" s="20" t="s">
        <v>366</v>
      </c>
      <c r="B32" s="20" t="s">
        <v>365</v>
      </c>
      <c r="C32" t="str" cm="1">
        <f t="array" ref="C32">CleanString(LOWER(B32),Punctuation)</f>
        <v>special topics on the frontiers of computer science the topic may vary each year</v>
      </c>
    </row>
    <row r="33" spans="1:3" x14ac:dyDescent="0.2">
      <c r="A33" s="20" t="s">
        <v>367</v>
      </c>
      <c r="B33" s="20" t="s">
        <v>365</v>
      </c>
      <c r="C33" t="str" cm="1">
        <f t="array" ref="C33">CleanString(LOWER(B33),Punctuation)</f>
        <v>special topics on the frontiers of computer science the topic may vary each year</v>
      </c>
    </row>
    <row r="34" spans="1:3" x14ac:dyDescent="0.2">
      <c r="A34" s="20" t="s">
        <v>368</v>
      </c>
      <c r="B34" s="20" t="s">
        <v>369</v>
      </c>
      <c r="C34" t="str" cm="1">
        <f t="array" ref="C34">CleanString(LOWER(B34),Punctuation)</f>
        <v>upper and lower time and space bounds levels of intractability graph algorithms greedy algorithms dynamic algorithms exhaustive search techniques parallel algorithms</v>
      </c>
    </row>
    <row r="35" spans="1:3" x14ac:dyDescent="0.2">
      <c r="A35" s="20" t="s">
        <v>370</v>
      </c>
      <c r="B35" s="20" t="s">
        <v>371</v>
      </c>
      <c r="C35" t="str" cm="1">
        <f t="array" ref="C35">CleanString(LOWER(B35),Punctuation)</f>
        <v>specification and analysis of programming languages data types and structures bindings and access structures runtime behavior of programs compilation vs interpretation comparative presentation of at least three programming languages addressing the above concepts</v>
      </c>
    </row>
    <row r="36" spans="1:3" x14ac:dyDescent="0.2">
      <c r="A36" s="20" t="s">
        <v>372</v>
      </c>
      <c r="B36" s="20" t="s">
        <v>373</v>
      </c>
      <c r="C36" t="str" cm="1">
        <f t="array" ref="C36">CleanString(LOWER(B36),Punctuation)</f>
        <v>introduction to artificial intelligence logic programming heuristic search knowledge representation expert systems</v>
      </c>
    </row>
    <row r="37" spans="1:3" x14ac:dyDescent="0.2">
      <c r="A37" s="20" t="s">
        <v>374</v>
      </c>
      <c r="B37" s="20" t="s">
        <v>375</v>
      </c>
      <c r="C37" t="str" cm="1">
        <f t="array" ref="C37">CleanString(LOWER(B37),Punctuation)</f>
        <v>topics include semiconductor technologies gates and circuits buses semiconductor memories peripheral interfaces i/o techniques a/d conversion standards risc</v>
      </c>
    </row>
    <row r="38" spans="1:3" x14ac:dyDescent="0.2">
      <c r="A38" s="20" t="s">
        <v>376</v>
      </c>
      <c r="B38" s="20" t="s">
        <v>377</v>
      </c>
      <c r="C38" t="str" cm="1">
        <f t="array" ref="C38">CleanString(LOWER(B38),Punctuation)</f>
        <v>common network protocols internetworking gateways routers bridges survey of commercial architectures standards</v>
      </c>
    </row>
    <row r="39" spans="1:3" x14ac:dyDescent="0.2">
      <c r="A39" s="20" t="s">
        <v>378</v>
      </c>
      <c r="B39" s="20" t="s">
        <v>379</v>
      </c>
      <c r="C39" t="str" cm="1">
        <f t="array" ref="C39">CleanString(LOWER(B39),Punctuation)</f>
        <v>the software development life cycle resourcing scheduling and estimating techniques for software project management project management organizational concerns including project economic analysis human resources proposal development risk management software implementation and technologystrategic alignment</v>
      </c>
    </row>
    <row r="40" spans="1:3" x14ac:dyDescent="0.2">
      <c r="A40" s="20" t="s">
        <v>380</v>
      </c>
      <c r="B40" s="20" t="s">
        <v>381</v>
      </c>
      <c r="C40" t="str" cm="1">
        <f t="array" ref="C40">CleanString(LOWER(B40),Punctuation)</f>
        <v>a supervised study involving a research paper the design of or development of a software project</v>
      </c>
    </row>
    <row r="41" spans="1:3" x14ac:dyDescent="0.2">
      <c r="A41" s="20" t="s">
        <v>382</v>
      </c>
      <c r="B41" s="20" t="s">
        <v>383</v>
      </c>
      <c r="C41" t="str" cm="1">
        <f t="array" ref="C41">CleanString(LOWER(B41),Punctuation)</f>
        <v>the viewing pipeline clipping and visibility problems the graphical kernel system picture generation and user interfaces</v>
      </c>
    </row>
    <row r="42" spans="1:3" x14ac:dyDescent="0.2">
      <c r="A42" s="20" t="s">
        <v>384</v>
      </c>
      <c r="B42" s="20" t="s">
        <v>385</v>
      </c>
      <c r="C42" t="str" cm="1">
        <f t="array" ref="C42">CleanString(LOWER(B42),Punctuation)</f>
        <v>issues arising in distributed and parallel systems and applications related architectures such as connection machines shared memory multiprocessors</v>
      </c>
    </row>
    <row r="43" spans="1:3" x14ac:dyDescent="0.2">
      <c r="A43" s="20" t="s">
        <v>386</v>
      </c>
      <c r="B43" s="20" t="s">
        <v>387</v>
      </c>
      <c r="C43" t="str" cm="1">
        <f t="array" ref="C43">CleanString(LOWER(B43),Punctuation)</f>
        <v>advanced database topics such as query optimization and execution advanced concurrency control and recovery concepts distributed databases xml databases database security and privacy databases in the cloud information retrieval</v>
      </c>
    </row>
    <row r="44" spans="1:3" x14ac:dyDescent="0.2">
      <c r="A44" s="20" t="s">
        <v>388</v>
      </c>
      <c r="B44" s="20" t="s">
        <v>389</v>
      </c>
      <c r="C44" t="str" cm="1">
        <f t="array" ref="C44">CleanString(LOWER(B44),Punctuation)</f>
        <v>survey of the principles and practice of cryptography and network security classical cryptography publickey cryptography and cryptographic protocols network and system security</v>
      </c>
    </row>
    <row r="45" spans="1:3" x14ac:dyDescent="0.2">
      <c r="A45" s="20" t="s">
        <v>390</v>
      </c>
      <c r="B45" s="20" t="s">
        <v>391</v>
      </c>
      <c r="C45" t="str" cm="1">
        <f t="array" ref="C45">CleanString(LOWER(B45),Punctuation)</f>
        <v>students will learn to develop and extend data science methods in order to solve new problems approaches covered will include convex loss/regularization graphical models and neural networks</v>
      </c>
    </row>
    <row r="46" spans="1:3" x14ac:dyDescent="0.2">
      <c r="A46" s="20" t="s">
        <v>392</v>
      </c>
      <c r="B46" s="20" t="s">
        <v>393</v>
      </c>
      <c r="C46" t="str" cm="1">
        <f t="array" ref="C46">CleanString(LOWER(B46),Punctuation)</f>
        <v>management and analysis of unstructured data with a focus on text data for example transaction logs news text article abstracts and microblogs overview of unstructured image audio and video data handson experience with modern distributed data management and analysis infrastructure</v>
      </c>
    </row>
    <row r="47" spans="1:3" x14ac:dyDescent="0.2">
      <c r="A47" s="20" t="s">
        <v>394</v>
      </c>
      <c r="B47" s="20" t="s">
        <v>395</v>
      </c>
      <c r="C47" t="str" cm="1">
        <f t="array" ref="C47">CleanString(LOWER(B47),Punctuation)</f>
        <v>students will learn how to conceptualize and design systems that integrate data visualization interactive machine learning and humandata interaction to support complex datadriven analytical tasks and activities which humans encounter in different fields visual analytics concepts and components will be studied in the context of humancentred computing</v>
      </c>
    </row>
    <row r="48" spans="1:3" x14ac:dyDescent="0.2">
      <c r="A48" s="20" t="s">
        <v>396</v>
      </c>
      <c r="B48" s="20" t="s">
        <v>397</v>
      </c>
      <c r="C48" t="str" cm="1">
        <f t="array" ref="C48">CleanString(LOWER(B48),Punctuation)</f>
        <v>advanced computer science topics reflecting current research interests within the department the particular topics will be available from the department prior to registration</v>
      </c>
    </row>
    <row r="49" spans="1:3" x14ac:dyDescent="0.2">
      <c r="A49" s="20" t="s">
        <v>398</v>
      </c>
      <c r="B49" s="20" t="s">
        <v>397</v>
      </c>
      <c r="C49" t="str" cm="1">
        <f t="array" ref="C49">CleanString(LOWER(B49),Punctuation)</f>
        <v>advanced computer science topics reflecting current research interests within the department the particular topics will be available from the department prior to registration</v>
      </c>
    </row>
    <row r="50" spans="1:3" x14ac:dyDescent="0.2">
      <c r="A50" s="20" t="s">
        <v>399</v>
      </c>
      <c r="B50" s="20" t="s">
        <v>397</v>
      </c>
      <c r="C50" t="str" cm="1">
        <f t="array" ref="C50">CleanString(LOWER(B50),Punctuation)</f>
        <v>advanced computer science topics reflecting current research interests within the department the particular topics will be available from the department prior to registration</v>
      </c>
    </row>
    <row r="51" spans="1:3" x14ac:dyDescent="0.2">
      <c r="A51" s="20" t="s">
        <v>400</v>
      </c>
      <c r="B51" s="20" t="s">
        <v>401</v>
      </c>
      <c r="C51" t="str" cm="1">
        <f t="array" ref="C51">CleanString(LOWER(B51),Punctuation)</f>
        <v>computer science topics reflecting current research interests within the department the particular topics will be available from the department prior to registration</v>
      </c>
    </row>
    <row r="52" spans="1:3" x14ac:dyDescent="0.2">
      <c r="A52" s="20" t="s">
        <v>402</v>
      </c>
      <c r="B52" s="20" t="s">
        <v>397</v>
      </c>
      <c r="C52" t="str" cm="1">
        <f t="array" ref="C52">CleanString(LOWER(B52),Punctuation)</f>
        <v>advanced computer science topics reflecting current research interests within the department the particular topics will be available from the department prior to registration</v>
      </c>
    </row>
    <row r="53" spans="1:3" x14ac:dyDescent="0.2">
      <c r="A53" s="20" t="s">
        <v>403</v>
      </c>
      <c r="B53" s="20" t="s">
        <v>397</v>
      </c>
      <c r="C53" t="str" cm="1">
        <f t="array" ref="C53">CleanString(LOWER(B53),Punctuation)</f>
        <v>advanced computer science topics reflecting current research interests within the department the particular topics will be available from the department prior to registration</v>
      </c>
    </row>
    <row r="54" spans="1:3" x14ac:dyDescent="0.2">
      <c r="A54" s="20" t="s">
        <v>404</v>
      </c>
      <c r="B54" s="20" t="s">
        <v>405</v>
      </c>
      <c r="C54" t="str" cm="1">
        <f t="array" ref="C54">CleanString(LOWER(B54),Punctuation)</f>
        <v>a selection from first order logic and theorem proving computational linguistics computer vision robotics knowledge acquisition machine learning</v>
      </c>
    </row>
    <row r="55" spans="1:3" x14ac:dyDescent="0.2">
      <c r="A55" s="20" t="s">
        <v>406</v>
      </c>
      <c r="B55" s="20" t="s">
        <v>407</v>
      </c>
      <c r="C55" t="str" cm="1">
        <f t="array" ref="C55">CleanString(LOWER(B55),Punctuation)</f>
        <v>parallel distributed probabilistic and geometric algorithms design and analysis computational geometry fractals and graphtals</v>
      </c>
    </row>
    <row r="56" spans="1:3" x14ac:dyDescent="0.2">
      <c r="A56" s="20" t="s">
        <v>408</v>
      </c>
      <c r="B56" s="20" t="s">
        <v>409</v>
      </c>
      <c r="C56" t="str" cm="1">
        <f t="array" ref="C56">CleanString(LOWER(B56),Punctuation)</f>
        <v>syntaxdirected translation lrk llk attribute grammars code generation optimization compiler compilers code generator generators</v>
      </c>
    </row>
    <row r="57" spans="1:3" x14ac:dyDescent="0.2">
      <c r="A57" s="20" t="s">
        <v>410</v>
      </c>
      <c r="B57" s="20" t="s">
        <v>411</v>
      </c>
      <c r="C57" t="str" cm="1">
        <f t="array" ref="C57">CleanString(LOWER(B57),Punctuation)</f>
        <v>network layering performance management modelling and simulation faults and failures</v>
      </c>
    </row>
    <row r="58" spans="1:3" x14ac:dyDescent="0.2">
      <c r="A58" s="20" t="s">
        <v>412</v>
      </c>
      <c r="B58" s="20" t="s">
        <v>413</v>
      </c>
      <c r="C58" t="str" cm="1">
        <f t="array" ref="C58">CleanString(LOWER(B58),Punctuation)</f>
        <v>a project or research paper in an area related to bioinformatics completed under faculty supervision an oral presentation plus a written submission will be required</v>
      </c>
    </row>
    <row r="59" spans="1:3" x14ac:dyDescent="0.2">
      <c r="A59" s="20" t="s">
        <v>414</v>
      </c>
      <c r="B59" s="20" t="s">
        <v>415</v>
      </c>
      <c r="C59" t="str" cm="1">
        <f t="array" ref="C59">CleanString(LOWER(B59),Punctuation)</f>
        <v>introduction to popular bioinformatics software tools and their applications in solving complex biological problems analysis of the algorithms behind bioinformatics tools</v>
      </c>
    </row>
    <row r="60" spans="1:3" x14ac:dyDescent="0.2">
      <c r="A60" s="20" t="s">
        <v>416</v>
      </c>
      <c r="B60" s="20" t="s">
        <v>417</v>
      </c>
      <c r="C60" t="str" cm="1">
        <f t="array" ref="C60">CleanString(LOWER(B60),Punctuation)</f>
        <v>bioinformatics studies biological problems using biological computational and mathematical methods computational biology studies computational techniques that can solve biological problems efficiently this course emphasizes the design analysis and implementation of algorithms for problems motivated from molecular biology research</v>
      </c>
    </row>
    <row r="61" spans="1:3" x14ac:dyDescent="0.2">
      <c r="A61" s="20" t="s">
        <v>418</v>
      </c>
      <c r="B61" s="20" t="s">
        <v>419</v>
      </c>
      <c r="C61" t="str" cm="1">
        <f t="array" ref="C61">CleanString(LOWER(B61),Punctuation)</f>
        <v>an examination of industrialstyle software development issues related to managing and maintaining largescale software systems in a group project students will examine software maintenance and configuration management concepts tools techniques risks and benefits case studies</v>
      </c>
    </row>
    <row r="62" spans="1:3" x14ac:dyDescent="0.2">
      <c r="A62" s="20" t="s">
        <v>420</v>
      </c>
      <c r="B62" s="20" t="s">
        <v>421</v>
      </c>
      <c r="C62" t="str" cm="1">
        <f t="array" ref="C62">CleanString(LOWER(B62),Punctuation)</f>
        <v>introduction to advanced software design concepts architectures of complex software systems domainindependent design patterns creation of a functional partitioning for a novel domain recognition of common architectural idioms</v>
      </c>
    </row>
    <row r="63" spans="1:3" x14ac:dyDescent="0.2">
      <c r="A63" s="20" t="s">
        <v>422</v>
      </c>
      <c r="B63" s="20" t="s">
        <v>423</v>
      </c>
      <c r="C63" t="str" cm="1">
        <f t="array" ref="C63">CleanString(LOWER(B63),Punctuation)</f>
        <v>concepts and state of the art techniques in software specification and quality assessment for software engineering quality attributes formal specification and analysis verification and validation</v>
      </c>
    </row>
    <row r="64" spans="1:3" x14ac:dyDescent="0.2">
      <c r="A64" s="20" t="s">
        <v>424</v>
      </c>
      <c r="B64" s="20" t="s">
        <v>425</v>
      </c>
      <c r="C64" t="str" cm="1">
        <f t="array" ref="C64">CleanString(LOWER(B64),Punctuation)</f>
        <v>the development of requirements for softwareintensive systems through successful requirements analysis techniques and requirements engineering an indepth study of methods tools notations and validation techniques for the analysis and specification of software requirements</v>
      </c>
    </row>
    <row r="65" spans="1:3" x14ac:dyDescent="0.2">
      <c r="A65" s="20" t="s">
        <v>426</v>
      </c>
      <c r="B65" s="20" t="s">
        <v>427</v>
      </c>
      <c r="C65" t="str" cm="1">
        <f t="array" ref="C65">CleanString(LOWER(B65),Punctuation)</f>
        <v>exposure to topics in humancomputer interaction including frameworks for humancomputer interaction requirements gathering rapid prototyping user interface systems and tool kits</v>
      </c>
    </row>
    <row r="66" spans="1:3" x14ac:dyDescent="0.2">
      <c r="A66" s="20" t="s">
        <v>428</v>
      </c>
      <c r="B66" s="20" t="s">
        <v>429</v>
      </c>
      <c r="C66" t="str" cm="1">
        <f t="array" ref="C66">CleanString(LOWER(B66),Punctuation)</f>
        <v>an examination of largescale software development in the context of a distributed multiuniversity open source software project organized by the undergraduate capstone open source projects ucosp initiative see http//ucospca for details students will receive practical handson experience in working in software development as well as valuable soft skills and team experience</v>
      </c>
    </row>
    <row r="67" spans="1:3" x14ac:dyDescent="0.2">
      <c r="A67" s="20" t="s">
        <v>430</v>
      </c>
      <c r="B67" s="20" t="s">
        <v>431</v>
      </c>
      <c r="C67" t="str" cm="1">
        <f t="array" ref="C67">CleanString(LOWER(B67),Punctuation)</f>
        <v>an examination of open source software development through googles annual summer of code program students are exposed to realworld software development scenarios in mentored projects from a number of open source projects gaining valuable and practical skills and experience in open source software development and maintenance</v>
      </c>
    </row>
    <row r="68" spans="1:3" x14ac:dyDescent="0.2">
      <c r="A68" s="20" t="s">
        <v>432</v>
      </c>
      <c r="B68" s="20" t="s">
        <v>433</v>
      </c>
      <c r="C68" t="str" cm="1">
        <f t="array" ref="C68">CleanString(LOWER(B68),Punctuation)</f>
        <v>the mainframe remains a critical piece of infrastructure for enterprise computing with experts highly sought after by industry this course studies the mainframe through ibms annual master the mainframe program students are exposed to realworld development through handson projects gaining valuable experience and skills for working with modern mainframe systems</v>
      </c>
    </row>
    <row r="69" spans="1:3" x14ac:dyDescent="0.2">
      <c r="A69" s="20" t="s">
        <v>434</v>
      </c>
      <c r="B69" s="20" t="s">
        <v>435</v>
      </c>
      <c r="C69" t="str" cm="1">
        <f t="array" ref="C69">CleanString(LOWER(B69),Punctuation)</f>
        <v>industrialstyle development issues related to the creation of games of commercial scale and quality both for entertainment and serious game applications in a group project students will examine concepts theories tools technologies and techniques for code and content generation for modern games</v>
      </c>
    </row>
    <row r="70" spans="1:3" x14ac:dyDescent="0.2">
      <c r="A70" s="20" t="s">
        <v>436</v>
      </c>
      <c r="B70" s="20" t="s">
        <v>437</v>
      </c>
      <c r="C70" t="str" cm="1">
        <f t="array" ref="C70">CleanString(LOWER(B70),Punctuation)</f>
        <v>dealing with digital pictures images requires far more computer memory and transmission time than is needed for plain text this course provides students with a solid understanding of the fundamentals and the principles of various digital stillimage compression schemes</v>
      </c>
    </row>
    <row r="71" spans="1:3" x14ac:dyDescent="0.2">
      <c r="A71" s="20" t="s">
        <v>438</v>
      </c>
      <c r="B71" s="20" t="s">
        <v>439</v>
      </c>
      <c r="C71" t="str" cm="1">
        <f t="array" ref="C71">CleanString(LOWER(B71),Punctuation)</f>
        <v>core concepts and techniques of game programming including the development and usage of game engines for the creation of games topics from game engine architecture realtime 2d and 3d rendering character animation shaders realtime physics simulation artificial intelligence and networking procedural methods player input and controls platform considerations tools development</v>
      </c>
    </row>
    <row r="72" spans="1:3" x14ac:dyDescent="0.2">
      <c r="A72" s="20" t="s">
        <v>440</v>
      </c>
      <c r="B72" s="20" t="s">
        <v>441</v>
      </c>
      <c r="C72" t="str" cm="1">
        <f t="array" ref="C72">CleanString(LOWER(B72),Punctuation)</f>
        <v>concepts and issues that arise in the development of games for entertainment and serious game applications focusing on providing players with more engaging immersive and rewarding gameplay experiences group project normally required</v>
      </c>
    </row>
    <row r="73" spans="1:3" x14ac:dyDescent="0.2">
      <c r="A73" s="20" t="s">
        <v>442</v>
      </c>
      <c r="B73" s="20" t="s">
        <v>443</v>
      </c>
      <c r="C73" t="str" cm="1">
        <f t="array" ref="C73">CleanString(LOWER(B73),Punctuation)</f>
        <v>fundamental concepts in computer and robot vision medical image analysis photo/video editing and graphics problems such as image segmentation registration correspondence matching object recognition tracking stereo texture synthesis gradient descent dynamic programming graphbased optimization techniques from computational geometry</v>
      </c>
    </row>
    <row r="74" spans="1:3" x14ac:dyDescent="0.2">
      <c r="A74" s="20" t="s">
        <v>444</v>
      </c>
      <c r="B74" s="20" t="s">
        <v>445</v>
      </c>
      <c r="C74" t="str" cm="1">
        <f t="array" ref="C74">CleanString(LOWER(B74),Punctuation)</f>
        <v>a project or research paper completed with minimal faculty supervision an oral presentation plus a written submission will be required</v>
      </c>
    </row>
    <row r="75" spans="1:3" x14ac:dyDescent="0.2">
      <c r="A75" s="20" t="s">
        <v>504</v>
      </c>
      <c r="B75" s="20" t="s">
        <v>505</v>
      </c>
      <c r="C75" t="str" cm="1">
        <f t="array" ref="C75">CleanString(LOWER(B75),Punctuation)</f>
        <v>this is a first course in programming for students of all backgrounds topics include images video sound and text user interface interaction design web services and apis and microcontroller platforms like arduino and phidgets students complete a series of projects on animation installation art electronic music theatre visualization and/or robotics</v>
      </c>
    </row>
    <row r="76" spans="1:3" x14ac:dyDescent="0.2">
      <c r="A76" s="20" t="s">
        <v>446</v>
      </c>
      <c r="B76" s="20" t="s">
        <v>447</v>
      </c>
      <c r="C76" t="str" cm="1">
        <f t="array" ref="C76">CleanString(LOWER(B76),Punctuation)</f>
        <v>from recent work in arts neuroscience and business to exemplary cases of presentday creativity this course studies and fosters innovation it provides handson experience and collaborative work that will lead to the development of a creative idea into a business plan</v>
      </c>
    </row>
    <row r="77" spans="1:3" x14ac:dyDescent="0.2">
      <c r="A77" s="20" t="s">
        <v>448</v>
      </c>
      <c r="B77" s="20" t="s">
        <v>449</v>
      </c>
      <c r="C77" t="str" cm="1">
        <f t="array" ref="C77">CleanString(LOWER(B77),Punctuation)</f>
        <v>please consult with the department for current course offerings</v>
      </c>
    </row>
    <row r="78" spans="1:3" x14ac:dyDescent="0.2">
      <c r="A78" s="20" t="s">
        <v>450</v>
      </c>
      <c r="B78" s="20" t="s">
        <v>449</v>
      </c>
      <c r="C78" t="str" cm="1">
        <f t="array" ref="C78">CleanString(LOWER(B78),Punctuation)</f>
        <v>please consult with the department for current course offerings</v>
      </c>
    </row>
    <row r="79" spans="1:3" x14ac:dyDescent="0.2">
      <c r="A79" s="20" t="s">
        <v>451</v>
      </c>
      <c r="B79" s="20" t="s">
        <v>449</v>
      </c>
      <c r="C79" t="str" cm="1">
        <f t="array" ref="C79">CleanString(LOWER(B79),Punctuation)</f>
        <v>please consult with the department for current course offerings</v>
      </c>
    </row>
    <row r="80" spans="1:3" x14ac:dyDescent="0.2">
      <c r="A80" s="20" t="s">
        <v>452</v>
      </c>
      <c r="B80" s="20" t="s">
        <v>449</v>
      </c>
      <c r="C80" t="str" cm="1">
        <f t="array" ref="C80">CleanString(LOWER(B80),Punctuation)</f>
        <v>please consult with the department for current course offerings</v>
      </c>
    </row>
    <row r="81" spans="1:3" x14ac:dyDescent="0.2">
      <c r="A81" s="20" t="s">
        <v>453</v>
      </c>
      <c r="B81" s="20" t="s">
        <v>449</v>
      </c>
      <c r="C81" t="str" cm="1">
        <f t="array" ref="C81">CleanString(LOWER(B81),Punctuation)</f>
        <v>please consult with the department for current course offerings</v>
      </c>
    </row>
    <row r="82" spans="1:3" x14ac:dyDescent="0.2">
      <c r="A82" s="20" t="s">
        <v>454</v>
      </c>
      <c r="B82" s="20" t="s">
        <v>455</v>
      </c>
      <c r="C82" t="str" cm="1">
        <f t="array" ref="C82">CleanString(LOWER(B82),Punctuation)</f>
        <v>through social media computer gaming and virtual communities we spend a considerable portion of our lives in the digital world what moral considerations ought to guide our conduct as digital citizens this class will explore cases of online ethical challenges and theories that might provide some answers</v>
      </c>
    </row>
    <row r="83" spans="1:3" x14ac:dyDescent="0.2">
      <c r="A83" s="20" t="s">
        <v>456</v>
      </c>
      <c r="B83" s="20" t="s">
        <v>457</v>
      </c>
      <c r="C83" t="str" cm="1">
        <f t="array" ref="C83">CleanString(LOWER(B83),Punctuation)</f>
        <v>practice and enhance your creativity with handson creative collaborative exercises learning to develop a personal business plan and learning the fundamentals of solving problems with design thinking</v>
      </c>
    </row>
    <row r="84" spans="1:3" x14ac:dyDescent="0.2">
      <c r="A84" s="20" t="s">
        <v>458</v>
      </c>
      <c r="B84" s="20" t="s">
        <v>459</v>
      </c>
      <c r="C84" t="str" cm="1">
        <f t="array" ref="C84">CleanString(LOWER(B84),Punctuation)</f>
        <v>in this course students will learn how historical content is produced presented and published online how to find and evaluate digital primary and secondary sources and how to use computational techniques to work with digital resources no previous background in the subject area is required</v>
      </c>
    </row>
    <row r="85" spans="1:3" x14ac:dyDescent="0.2">
      <c r="A85" s="20" t="s">
        <v>460</v>
      </c>
      <c r="B85" s="20" t="s">
        <v>324</v>
      </c>
      <c r="C85" t="str" cm="1">
        <f t="array" ref="C85">CleanString(LOWER(B85),Punctuation)</f>
        <v>a comprehensive and interdisciplinary introduction to data analytics using modern computing systems with equal attention to fundamentals and practical aspects topics include sources of data data formats and transformation usage of spreadsheets and databases statistical analysis pattern recognition data mining big data and methods for data presentation and visualization</v>
      </c>
    </row>
    <row r="86" spans="1:3" x14ac:dyDescent="0.2">
      <c r="A86" s="20" t="s">
        <v>461</v>
      </c>
      <c r="B86" s="20" t="s">
        <v>462</v>
      </c>
      <c r="C86" t="str" cm="1">
        <f t="array" ref="C86">CleanString(LOWER(B86),Punctuation)</f>
        <v>essential information processing skills for humanities students includes an introduction to programming creating programs and scripts to address problems that arise in applied research examples of data sets and projects drawn from different areas of the humanities and social science no previous formal programming background required</v>
      </c>
    </row>
    <row r="87" spans="1:3" x14ac:dyDescent="0.2">
      <c r="A87" s="20" t="s">
        <v>463</v>
      </c>
      <c r="B87" s="20" t="s">
        <v>334</v>
      </c>
      <c r="C87" t="str" cm="1">
        <f t="array" ref="C87">CleanString(LOWER(B87),Punctuation)</f>
        <v>an overview of core data structures and algorithms in computing with a focus on applications to informatics and analytics in a variety of disciplines includes lists stacks queues trees graphs and their associated algorithms sorting searching and hashing techniques suitable for noncomputer science students</v>
      </c>
    </row>
    <row r="88" spans="1:3" x14ac:dyDescent="0.2">
      <c r="A88" s="20" t="s">
        <v>464</v>
      </c>
      <c r="B88" s="20" t="s">
        <v>465</v>
      </c>
      <c r="C88" t="str" cm="1">
        <f t="array" ref="C88">CleanString(LOWER(B88),Punctuation)</f>
        <v>learn how to use humancentered design to solve practical problems across domains and businesses get to know the main ideas and history of human design this is a practical handson course the main outcome is the production of a human design portfolio</v>
      </c>
    </row>
    <row r="89" spans="1:3" x14ac:dyDescent="0.2">
      <c r="A89" s="20" t="s">
        <v>466</v>
      </c>
      <c r="B89" s="20" t="s">
        <v>467</v>
      </c>
      <c r="C89" t="str" cm="1">
        <f t="array" ref="C89">CleanString(LOWER(B89),Punctuation)</f>
        <v>conceptual and analytical tools to understand the digital momentum of an organization and learning of tools to plan its digital transformation</v>
      </c>
    </row>
    <row r="90" spans="1:3" x14ac:dyDescent="0.2">
      <c r="A90" s="20" t="s">
        <v>468</v>
      </c>
      <c r="B90" s="20" t="s">
        <v>469</v>
      </c>
      <c r="C90" t="str" cm="1">
        <f t="array" ref="C90">CleanString(LOWER(B90),Punctuation)</f>
        <v>strategic tools to set the direction and pace of a digital organization according to its values customers technology and platforms</v>
      </c>
    </row>
    <row r="91" spans="1:3" x14ac:dyDescent="0.2">
      <c r="A91" s="20" t="s">
        <v>470</v>
      </c>
      <c r="B91" s="20" t="s">
        <v>471</v>
      </c>
      <c r="C91" t="str" cm="1">
        <f t="array" ref="C91">CleanString(LOWER(B91),Punctuation)</f>
        <v>how is the digital world changing fashion learn how the web changes how we shop how designers change the way they create and showcase products how trending sites move opinions about what is cool and how new technologies let us play with digital design</v>
      </c>
    </row>
    <row r="92" spans="1:3" x14ac:dyDescent="0.2">
      <c r="A92" s="20" t="s">
        <v>472</v>
      </c>
      <c r="B92" s="20" t="s">
        <v>473</v>
      </c>
      <c r="C92" t="str" cm="1">
        <f t="array" ref="C92">CleanString(LOWER(B92),Punctuation)</f>
        <v>how is shakespeare connected to cervantes new york to tokyo baroque painting to video games cultural networks grow in time and space through the creation of links among their elements through a set of digital tools this course focuses on the discovery of connections that make culture possible</v>
      </c>
    </row>
    <row r="93" spans="1:3" x14ac:dyDescent="0.2">
      <c r="A93" s="20" t="s">
        <v>474</v>
      </c>
      <c r="B93" s="20" t="s">
        <v>475</v>
      </c>
      <c r="C93" t="str" cm="1">
        <f t="array" ref="C93">CleanString(LOWER(B93),Punctuation)</f>
        <v>this course explores virtual worlds with a focus upon their articulations of new digital forms of identity community art and communication how does the extension of the human into virtual space impact our understanding of ourselves how can virtual worlds help us reappraise who we are and what we do</v>
      </c>
    </row>
    <row r="94" spans="1:3" x14ac:dyDescent="0.2">
      <c r="A94" s="20" t="s">
        <v>476</v>
      </c>
      <c r="B94" s="20" t="s">
        <v>477</v>
      </c>
      <c r="C94" t="str" cm="1">
        <f t="array" ref="C94">CleanString(LOWER(B94),Punctuation)</f>
        <v>this course will cover theoretical aspects of the new use of data by humanists of different disciplines it will serve as an introduction to the techniques and methods commonly used to make sense of data in a humanities context such as social network analysis generative writing text mining or machine learning</v>
      </c>
    </row>
    <row r="95" spans="1:3" x14ac:dyDescent="0.2">
      <c r="A95" s="20" t="s">
        <v>478</v>
      </c>
      <c r="B95" s="20" t="s">
        <v>449</v>
      </c>
      <c r="C95" t="str" cm="1">
        <f t="array" ref="C95">CleanString(LOWER(B95),Punctuation)</f>
        <v>please consult with the department for current course offerings</v>
      </c>
    </row>
    <row r="96" spans="1:3" x14ac:dyDescent="0.2">
      <c r="A96" s="20" t="s">
        <v>479</v>
      </c>
      <c r="B96" s="20" t="s">
        <v>449</v>
      </c>
      <c r="C96" t="str" cm="1">
        <f t="array" ref="C96">CleanString(LOWER(B96),Punctuation)</f>
        <v>please consult with the department for current course offerings</v>
      </c>
    </row>
    <row r="97" spans="1:3" x14ac:dyDescent="0.2">
      <c r="A97" s="20" t="s">
        <v>480</v>
      </c>
      <c r="B97" s="20" t="s">
        <v>449</v>
      </c>
      <c r="C97" t="str" cm="1">
        <f t="array" ref="C97">CleanString(LOWER(B97),Punctuation)</f>
        <v>please consult with the department for current course offerings</v>
      </c>
    </row>
    <row r="98" spans="1:3" x14ac:dyDescent="0.2">
      <c r="A98" s="20" t="s">
        <v>481</v>
      </c>
      <c r="B98" s="20" t="s">
        <v>449</v>
      </c>
      <c r="C98" t="str" cm="1">
        <f t="array" ref="C98">CleanString(LOWER(B98),Punctuation)</f>
        <v>please consult with the department for current course offerings</v>
      </c>
    </row>
    <row r="99" spans="1:3" x14ac:dyDescent="0.2">
      <c r="A99" s="20" t="s">
        <v>482</v>
      </c>
      <c r="B99" s="20" t="s">
        <v>449</v>
      </c>
      <c r="C99" t="str" cm="1">
        <f t="array" ref="C99">CleanString(LOWER(B99),Punctuation)</f>
        <v>please consult with the department for current course offerings</v>
      </c>
    </row>
    <row r="100" spans="1:3" x14ac:dyDescent="0.2">
      <c r="A100" s="20" t="s">
        <v>483</v>
      </c>
      <c r="B100" s="20" t="s">
        <v>484</v>
      </c>
      <c r="C100" t="str" cm="1">
        <f t="array" ref="C100">CleanString(LOWER(B100),Punctuation)</f>
        <v>learn the practical tools and the theories to foster innovation in organizations based on human design principles and practices</v>
      </c>
    </row>
    <row r="101" spans="1:3" x14ac:dyDescent="0.2">
      <c r="A101" s="20" t="s">
        <v>485</v>
      </c>
      <c r="B101" s="20" t="s">
        <v>486</v>
      </c>
      <c r="C101" t="str" cm="1">
        <f t="array" ref="C101">CleanString(LOWER(B101),Punctuation)</f>
        <v>skills to effectively tell your story across multiple media and platforms</v>
      </c>
    </row>
    <row r="102" spans="1:3" x14ac:dyDescent="0.2">
      <c r="A102" s="20" t="s">
        <v>487</v>
      </c>
      <c r="B102" s="20" t="s">
        <v>354</v>
      </c>
      <c r="C102" t="str" cm="1">
        <f t="array" ref="C102">CleanString(LOWER(B102),Punctuation)</f>
        <v>a study of relational databases theoretical concepts will be covered including relational algebra and relational calculus commercially available database systems will be used to demonstrate concepts such as structuredquerylanguage sql writing code to connect and query a database query optimization atomicityconsistencyisolationdurability acid concepts and database design</v>
      </c>
    </row>
    <row r="103" spans="1:3" x14ac:dyDescent="0.2">
      <c r="A103" s="20" t="s">
        <v>488</v>
      </c>
      <c r="B103" s="20" t="s">
        <v>489</v>
      </c>
      <c r="C103" t="str" cm="1">
        <f t="array" ref="C103">CleanString(LOWER(B103),Punctuation)</f>
        <v>this interdisciplinary course addresses three main issues how information can and should be represented how computers can allow us to interact with information and how interactive information supports knowledgedriven activities case studies explore a variety of disciplines using various tools</v>
      </c>
    </row>
    <row r="104" spans="1:3" x14ac:dyDescent="0.2">
      <c r="A104" s="20" t="s">
        <v>490</v>
      </c>
      <c r="B104" s="20" t="s">
        <v>491</v>
      </c>
      <c r="C104" t="str" cm="1">
        <f t="array" ref="C104">CleanString(LOWER(B104),Punctuation)</f>
        <v>a combination of handson instruction in text encoding guidelines for electronic texts and digital archive and a theoretical exploration of issues involved in editing marking up and structuring of texts and archival materials students will create their own digital edition or archive using xml and html5</v>
      </c>
    </row>
    <row r="105" spans="1:3" x14ac:dyDescent="0.2">
      <c r="A105" s="20" t="s">
        <v>492</v>
      </c>
      <c r="B105" s="20" t="s">
        <v>493</v>
      </c>
      <c r="C105" t="str" cm="1">
        <f t="array" ref="C105">CleanString(LOWER(B105),Punctuation)</f>
        <v>focus on visualizing and capturing cultural objects in order to preserve them to permit consultation or to allow detailed analysis students will use instrumentation ranging from a simple camera to laser scanners and microct scanners captured objects range from simple projections on a screen to fully immersive 3d environments</v>
      </c>
    </row>
    <row r="106" spans="1:3" x14ac:dyDescent="0.2">
      <c r="A106" s="20" t="s">
        <v>494</v>
      </c>
      <c r="B106" s="20" t="s">
        <v>495</v>
      </c>
      <c r="C106" t="str" cm="1">
        <f t="array" ref="C106">CleanString(LOWER(B106),Punctuation)</f>
        <v>a handson workshop supplementing traditional historical and ethnographic methods with new modes of inquiry and expression students study experimental works while working in a variety of new media including code electronics and physical computing 3d printing alternate augmented and mixed reality games graphic novels 3d photography machinima and digital puppetry</v>
      </c>
    </row>
    <row r="107" spans="1:3" x14ac:dyDescent="0.2">
      <c r="A107" s="20" t="s">
        <v>496</v>
      </c>
      <c r="B107" s="20" t="s">
        <v>497</v>
      </c>
      <c r="C107" t="str" cm="1">
        <f t="array" ref="C107">CleanString(LOWER(B107),Punctuation)</f>
        <v>this course examines in depth the theories and methods of social network analysis people cultural artifacts and historical events are all interconnected in complex ways students learn how to apply social network analysis to examine the interconnectedness of nodes and thereby better understand the resulting social economic and cultural consequences</v>
      </c>
    </row>
    <row r="108" spans="1:3" x14ac:dyDescent="0.2">
      <c r="A108" s="20" t="s">
        <v>498</v>
      </c>
      <c r="B108" s="20" t="s">
        <v>499</v>
      </c>
      <c r="C108" t="str" cm="1">
        <f t="array" ref="C108">CleanString(LOWER(B108),Punctuation)</f>
        <v>the academic internship is an unpaid credit internship with minimum of 60 hours the internship will require students to make connections with academic study while undertaking supervised duties in organizations businesses or community groups with interests related to digital humanities</v>
      </c>
    </row>
    <row r="109" spans="1:3" x14ac:dyDescent="0.2">
      <c r="A109" s="20" t="s">
        <v>500</v>
      </c>
      <c r="B109" s="20" t="s">
        <v>449</v>
      </c>
      <c r="C109" t="str" cm="1">
        <f t="array" ref="C109">CleanString(LOWER(B109),Punctuation)</f>
        <v>please consult with the department for current course offerings</v>
      </c>
    </row>
    <row r="110" spans="1:3" x14ac:dyDescent="0.2">
      <c r="A110" s="20" t="s">
        <v>501</v>
      </c>
      <c r="B110" s="20" t="s">
        <v>449</v>
      </c>
      <c r="C110" t="str" cm="1">
        <f t="array" ref="C110">CleanString(LOWER(B110),Punctuation)</f>
        <v>please consult with the department for current course offerings</v>
      </c>
    </row>
    <row r="111" spans="1:3" x14ac:dyDescent="0.2">
      <c r="A111" s="20" t="s">
        <v>502</v>
      </c>
      <c r="B111" s="20" t="s">
        <v>449</v>
      </c>
      <c r="C111" t="str" cm="1">
        <f t="array" ref="C111">CleanString(LOWER(B111),Punctuation)</f>
        <v>please consult with the department for current course offerings</v>
      </c>
    </row>
    <row r="112" spans="1:3" x14ac:dyDescent="0.2">
      <c r="A112" s="20" t="s">
        <v>503</v>
      </c>
      <c r="B112" s="20" t="s">
        <v>449</v>
      </c>
      <c r="C112" t="str" cm="1">
        <f t="array" ref="C112">CleanString(LOWER(B112),Punctuation)</f>
        <v>please consult with the department for current course offerings</v>
      </c>
    </row>
  </sheetData>
  <phoneticPr fontId="12" type="noConversion"/>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8014D-8209-449E-B064-010950B00264}">
  <sheetPr codeName="Sheet5"/>
  <dimension ref="A1:B4"/>
  <sheetViews>
    <sheetView workbookViewId="0">
      <selection activeCell="B20" sqref="B20"/>
    </sheetView>
  </sheetViews>
  <sheetFormatPr defaultRowHeight="14.25" x14ac:dyDescent="0.2"/>
  <cols>
    <col min="2" max="2" width="92.625" customWidth="1"/>
  </cols>
  <sheetData>
    <row r="1" spans="1:2" x14ac:dyDescent="0.2">
      <c r="A1" t="s">
        <v>555</v>
      </c>
      <c r="B1" t="s">
        <v>533</v>
      </c>
    </row>
    <row r="4" spans="1:2" x14ac:dyDescent="0.2">
      <c r="A4" t="s">
        <v>556</v>
      </c>
    </row>
  </sheetData>
  <phoneticPr fontId="12" type="noConversion"/>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Results">
                <anchor moveWithCells="1">
                  <from>
                    <xdr:col>0</xdr:col>
                    <xdr:colOff>0</xdr:colOff>
                    <xdr:row>1</xdr:row>
                    <xdr:rowOff>19050</xdr:rowOff>
                  </from>
                  <to>
                    <xdr:col>1</xdr:col>
                    <xdr:colOff>542925</xdr:colOff>
                    <xdr:row>2</xdr:row>
                    <xdr:rowOff>95250</xdr:rowOff>
                  </to>
                </anchor>
              </controlPr>
            </control>
          </mc:Choice>
        </mc:AlternateContent>
        <mc:AlternateContent xmlns:mc="http://schemas.openxmlformats.org/markup-compatibility/2006">
          <mc:Choice Requires="x14">
            <control shapeId="3075" r:id="rId5" name="Button 3">
              <controlPr defaultSize="0" print="0" autoFill="0" autoPict="0" macro="[0]!SimpleSearch">
                <anchor moveWithCells="1">
                  <from>
                    <xdr:col>1</xdr:col>
                    <xdr:colOff>552450</xdr:colOff>
                    <xdr:row>1</xdr:row>
                    <xdr:rowOff>9525</xdr:rowOff>
                  </from>
                  <to>
                    <xdr:col>1</xdr:col>
                    <xdr:colOff>1781175</xdr:colOff>
                    <xdr:row>2</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6980-E21B-41B8-99D1-DB4DAAE9E13E}">
  <sheetPr codeName="Sheet4"/>
  <dimension ref="A1:Q310"/>
  <sheetViews>
    <sheetView workbookViewId="0">
      <selection activeCell="G34" sqref="G34"/>
    </sheetView>
  </sheetViews>
  <sheetFormatPr defaultColWidth="8.75" defaultRowHeight="14.25" x14ac:dyDescent="0.2"/>
  <cols>
    <col min="1" max="4" width="8.875" style="21" bestFit="1" customWidth="1"/>
    <col min="5" max="6" width="9.875" style="21" bestFit="1" customWidth="1"/>
    <col min="7" max="7" width="8.875" style="21" bestFit="1" customWidth="1"/>
    <col min="8" max="8" width="5.875" style="21" customWidth="1"/>
    <col min="9" max="9" width="3.125" style="21" customWidth="1"/>
    <col min="10" max="10" width="4.5" style="21" customWidth="1"/>
    <col min="11" max="11" width="3.125" style="21" customWidth="1"/>
    <col min="12" max="12" width="8.875" style="21" bestFit="1" customWidth="1"/>
    <col min="13" max="13" width="9.875" style="21" customWidth="1"/>
    <col min="14" max="14" width="8.875" style="21" bestFit="1" customWidth="1"/>
    <col min="15" max="15" width="4.125" style="21" customWidth="1"/>
    <col min="16" max="17" width="5" style="21" customWidth="1"/>
    <col min="18" max="16384" width="8.75" style="21"/>
  </cols>
  <sheetData>
    <row r="1" spans="1:17" x14ac:dyDescent="0.2">
      <c r="A1" s="21">
        <f>MOD(steps!C1,$L$1)</f>
        <v>16121</v>
      </c>
      <c r="B1" s="21" t="str">
        <f ca="1">IF(A1=0,C$1,C2)</f>
        <v>Welcome to String searching Shenghua!</v>
      </c>
      <c r="C1" s="21" t="s">
        <v>300</v>
      </c>
      <c r="L1" s="21">
        <v>100000</v>
      </c>
      <c r="N1" s="21">
        <v>27</v>
      </c>
      <c r="O1" s="21">
        <v>31</v>
      </c>
      <c r="P1" s="22" t="s">
        <v>303</v>
      </c>
      <c r="Q1" s="22" t="s">
        <v>304</v>
      </c>
    </row>
    <row r="2" spans="1:17" x14ac:dyDescent="0.2">
      <c r="B2" s="21">
        <f>IFERROR(MATCH(A1,L:L,0)-1,MOD(A1,4)+1)</f>
        <v>57</v>
      </c>
      <c r="C2" s="21" t="str">
        <f ca="1">"Welcome to String searching "&amp;C3&amp;"!"</f>
        <v>Welcome to String searching Shenghua!</v>
      </c>
      <c r="L2" s="21">
        <v>111</v>
      </c>
      <c r="M2" s="21" t="s">
        <v>2</v>
      </c>
    </row>
    <row r="3" spans="1:17" x14ac:dyDescent="0.2">
      <c r="C3" s="21" t="str">
        <f ca="1">OFFSET(M1,B2,0)</f>
        <v>Shenghua</v>
      </c>
      <c r="L3" s="21">
        <v>112</v>
      </c>
      <c r="M3" s="21" t="s">
        <v>3</v>
      </c>
    </row>
    <row r="4" spans="1:17" x14ac:dyDescent="0.2">
      <c r="C4" s="21" t="str">
        <f ca="1">LEFT(C3,3)</f>
        <v>She</v>
      </c>
      <c r="L4" s="21">
        <v>113</v>
      </c>
      <c r="M4" s="21" t="s">
        <v>4</v>
      </c>
    </row>
    <row r="5" spans="1:17" x14ac:dyDescent="0.2">
      <c r="L5" s="21">
        <v>114</v>
      </c>
      <c r="M5" s="21" t="s">
        <v>5</v>
      </c>
    </row>
    <row r="6" spans="1:17" x14ac:dyDescent="0.2">
      <c r="C6" s="21">
        <f ca="1">IF($A$1=0,$C$1,OFFSET(P$1,$B$2,0))</f>
        <v>0</v>
      </c>
      <c r="D6" s="21" t="str">
        <f ca="1">IF($A$1=0,$C$1,"Enter the value "&amp;C6&amp;" into the cell simple!A1")</f>
        <v>Enter the value 0 into the cell simple!A1</v>
      </c>
      <c r="L6" s="21">
        <v>221</v>
      </c>
      <c r="M6" s="21" t="s">
        <v>6</v>
      </c>
    </row>
    <row r="7" spans="1:17" x14ac:dyDescent="0.2">
      <c r="L7" s="21">
        <v>222</v>
      </c>
      <c r="M7" s="21" t="s">
        <v>7</v>
      </c>
    </row>
    <row r="8" spans="1:17" x14ac:dyDescent="0.2">
      <c r="C8" s="21" t="str">
        <f>IF($A$1=0,$C$1,D8)</f>
        <v>The information in the tab "courseD" comes from these pages</v>
      </c>
      <c r="D8" s="28" t="s">
        <v>509</v>
      </c>
      <c r="E8" s="28"/>
      <c r="L8" s="21">
        <v>223</v>
      </c>
      <c r="M8" s="21" t="s">
        <v>8</v>
      </c>
    </row>
    <row r="9" spans="1:17" x14ac:dyDescent="0.2">
      <c r="L9" s="21">
        <v>224</v>
      </c>
      <c r="M9" s="21" t="s">
        <v>11</v>
      </c>
    </row>
    <row r="10" spans="1:17" x14ac:dyDescent="0.2">
      <c r="L10" s="21">
        <v>225</v>
      </c>
      <c r="M10" s="21" t="s">
        <v>12</v>
      </c>
    </row>
    <row r="11" spans="1:17" x14ac:dyDescent="0.2">
      <c r="L11" s="21">
        <v>226</v>
      </c>
      <c r="M11" s="21" t="s">
        <v>10</v>
      </c>
    </row>
    <row r="12" spans="1:17" x14ac:dyDescent="0.2">
      <c r="C12" s="21" t="str">
        <f>IF($A$1=0,$C$1,D12)</f>
        <v>We are going to write a VBA Function called CleanString to remove some unwanted elements. In this case, we are going to use it to remove punctuation.</v>
      </c>
      <c r="D12" s="28" t="s">
        <v>549</v>
      </c>
      <c r="E12" s="28"/>
      <c r="L12" s="21">
        <v>227</v>
      </c>
      <c r="M12" s="21" t="s">
        <v>9</v>
      </c>
    </row>
    <row r="13" spans="1:17" x14ac:dyDescent="0.2">
      <c r="L13" s="21">
        <v>678</v>
      </c>
      <c r="M13" s="21" t="s">
        <v>116</v>
      </c>
    </row>
    <row r="14" spans="1:17" x14ac:dyDescent="0.2">
      <c r="C14" s="21" t="str">
        <f ca="1">C3&amp;" rules! "&amp;C3&amp;" rules! "&amp;C3&amp;" rules! "</f>
        <v xml:space="preserve">Shenghua rules! Shenghua rules! Shenghua rules! </v>
      </c>
      <c r="L14" s="21">
        <v>681</v>
      </c>
      <c r="M14" s="21" t="s">
        <v>107</v>
      </c>
    </row>
    <row r="15" spans="1:17" x14ac:dyDescent="0.2">
      <c r="C15" s="21" t="str">
        <f>"In C30, test your Function on C28 where you remove F28:G28"</f>
        <v>In C30, test your Function on C28 where you remove F28:G28</v>
      </c>
      <c r="L15" s="21">
        <v>1306</v>
      </c>
      <c r="M15" s="21" t="s">
        <v>184</v>
      </c>
    </row>
    <row r="16" spans="1:17" x14ac:dyDescent="0.2">
      <c r="C16" s="21" t="str">
        <f ca="1">RIGHT(LEFT(C3,2),1)</f>
        <v>h</v>
      </c>
      <c r="L16" s="21">
        <v>1909</v>
      </c>
      <c r="M16" s="21" t="s">
        <v>115</v>
      </c>
    </row>
    <row r="17" spans="3:13" x14ac:dyDescent="0.2">
      <c r="C17" s="21" cm="1">
        <f t="array" ref="C17">IFERROR(IF(CleanString("jimim",H17:I17)="j",1,0),0)</f>
        <v>1</v>
      </c>
      <c r="H17" s="21" t="s">
        <v>526</v>
      </c>
      <c r="I17" s="21" t="s">
        <v>529</v>
      </c>
      <c r="L17" s="21">
        <v>2877</v>
      </c>
      <c r="M17" s="21" t="s">
        <v>159</v>
      </c>
    </row>
    <row r="18" spans="3:13" x14ac:dyDescent="0.2">
      <c r="L18" s="21">
        <v>3059</v>
      </c>
      <c r="M18" s="21" t="s">
        <v>88</v>
      </c>
    </row>
    <row r="19" spans="3:13" x14ac:dyDescent="0.2">
      <c r="L19" s="21">
        <v>4261</v>
      </c>
      <c r="M19" s="21" t="s">
        <v>71</v>
      </c>
    </row>
    <row r="20" spans="3:13" x14ac:dyDescent="0.2">
      <c r="L20" s="21">
        <v>4507</v>
      </c>
      <c r="M20" s="21" t="s">
        <v>296</v>
      </c>
    </row>
    <row r="21" spans="3:13" x14ac:dyDescent="0.2">
      <c r="L21" s="21">
        <v>4777</v>
      </c>
      <c r="M21" s="21" t="s">
        <v>246</v>
      </c>
    </row>
    <row r="22" spans="3:13" x14ac:dyDescent="0.2">
      <c r="C22" s="21" t="str">
        <f>IF($A$1=0,$C$1,D22)</f>
        <v>We would like to create a simple search interface that lists all the course titles whose description contain a specified keyword.</v>
      </c>
      <c r="D22" s="28" t="s">
        <v>535</v>
      </c>
      <c r="E22" s="28"/>
      <c r="L22" s="21">
        <v>4968</v>
      </c>
      <c r="M22" s="21" t="s">
        <v>298</v>
      </c>
    </row>
    <row r="23" spans="3:13" x14ac:dyDescent="0.2">
      <c r="L23" s="21">
        <v>5996</v>
      </c>
      <c r="M23" s="21" t="s">
        <v>16</v>
      </c>
    </row>
    <row r="24" spans="3:13" x14ac:dyDescent="0.2">
      <c r="L24" s="21">
        <v>6936</v>
      </c>
      <c r="M24" s="21" t="s">
        <v>193</v>
      </c>
    </row>
    <row r="25" spans="3:13" ht="18.95" customHeight="1" x14ac:dyDescent="0.2">
      <c r="L25" s="21">
        <v>6939</v>
      </c>
      <c r="M25" s="21" t="s">
        <v>201</v>
      </c>
    </row>
    <row r="26" spans="3:13" x14ac:dyDescent="0.2">
      <c r="L26" s="21">
        <v>6973</v>
      </c>
      <c r="M26" s="21" t="s">
        <v>139</v>
      </c>
    </row>
    <row r="27" spans="3:13" x14ac:dyDescent="0.2">
      <c r="L27" s="21">
        <v>6984</v>
      </c>
      <c r="M27" s="21" t="s">
        <v>263</v>
      </c>
    </row>
    <row r="28" spans="3:13" x14ac:dyDescent="0.2">
      <c r="L28" s="21">
        <v>7084</v>
      </c>
      <c r="M28" s="21" t="s">
        <v>148</v>
      </c>
    </row>
    <row r="29" spans="3:13" x14ac:dyDescent="0.2">
      <c r="L29" s="21">
        <v>7326</v>
      </c>
      <c r="M29" s="21" t="s">
        <v>257</v>
      </c>
    </row>
    <row r="30" spans="3:13" x14ac:dyDescent="0.2">
      <c r="L30" s="21">
        <v>7355</v>
      </c>
      <c r="M30" s="21" t="s">
        <v>281</v>
      </c>
    </row>
    <row r="31" spans="3:13" x14ac:dyDescent="0.2">
      <c r="L31" s="21">
        <v>7570</v>
      </c>
      <c r="M31" s="21" t="s">
        <v>273</v>
      </c>
    </row>
    <row r="32" spans="3:13" x14ac:dyDescent="0.2">
      <c r="L32" s="21">
        <v>7598</v>
      </c>
      <c r="M32" s="21" t="s">
        <v>234</v>
      </c>
    </row>
    <row r="33" spans="12:13" x14ac:dyDescent="0.2">
      <c r="L33" s="21">
        <v>7761</v>
      </c>
      <c r="M33" s="21" t="s">
        <v>182</v>
      </c>
    </row>
    <row r="34" spans="12:13" x14ac:dyDescent="0.2">
      <c r="L34" s="21">
        <v>9212</v>
      </c>
      <c r="M34" s="21" t="s">
        <v>171</v>
      </c>
    </row>
    <row r="35" spans="12:13" x14ac:dyDescent="0.2">
      <c r="L35" s="21">
        <v>9379</v>
      </c>
      <c r="M35" s="21" t="s">
        <v>148</v>
      </c>
    </row>
    <row r="36" spans="12:13" x14ac:dyDescent="0.2">
      <c r="L36" s="21">
        <v>9539</v>
      </c>
      <c r="M36" s="21" t="s">
        <v>129</v>
      </c>
    </row>
    <row r="37" spans="12:13" x14ac:dyDescent="0.2">
      <c r="L37" s="21">
        <v>10026</v>
      </c>
      <c r="M37" s="21" t="s">
        <v>97</v>
      </c>
    </row>
    <row r="38" spans="12:13" x14ac:dyDescent="0.2">
      <c r="L38" s="21">
        <v>10256</v>
      </c>
      <c r="M38" s="21" t="s">
        <v>223</v>
      </c>
    </row>
    <row r="39" spans="12:13" x14ac:dyDescent="0.2">
      <c r="L39" s="21">
        <v>10312</v>
      </c>
      <c r="M39" s="21" t="s">
        <v>177</v>
      </c>
    </row>
    <row r="40" spans="12:13" x14ac:dyDescent="0.2">
      <c r="L40" s="21">
        <v>10316</v>
      </c>
      <c r="M40" s="21" t="s">
        <v>81</v>
      </c>
    </row>
    <row r="41" spans="12:13" x14ac:dyDescent="0.2">
      <c r="L41" s="21">
        <v>10625</v>
      </c>
      <c r="M41" s="21" t="s">
        <v>269</v>
      </c>
    </row>
    <row r="42" spans="12:13" x14ac:dyDescent="0.2">
      <c r="L42" s="21">
        <v>10810</v>
      </c>
      <c r="M42" s="21" t="s">
        <v>179</v>
      </c>
    </row>
    <row r="43" spans="12:13" x14ac:dyDescent="0.2">
      <c r="L43" s="21">
        <v>11013</v>
      </c>
      <c r="M43" s="21" t="s">
        <v>108</v>
      </c>
    </row>
    <row r="44" spans="12:13" x14ac:dyDescent="0.2">
      <c r="L44" s="21">
        <v>11367</v>
      </c>
      <c r="M44" s="21" t="s">
        <v>266</v>
      </c>
    </row>
    <row r="45" spans="12:13" x14ac:dyDescent="0.2">
      <c r="L45" s="21">
        <v>11695</v>
      </c>
      <c r="M45" s="21" t="s">
        <v>72</v>
      </c>
    </row>
    <row r="46" spans="12:13" x14ac:dyDescent="0.2">
      <c r="L46" s="21">
        <v>12172</v>
      </c>
      <c r="M46" s="21" t="s">
        <v>173</v>
      </c>
    </row>
    <row r="47" spans="12:13" x14ac:dyDescent="0.2">
      <c r="L47" s="21">
        <v>12255</v>
      </c>
      <c r="M47" s="21" t="s">
        <v>250</v>
      </c>
    </row>
    <row r="48" spans="12:13" x14ac:dyDescent="0.2">
      <c r="L48" s="21">
        <v>13533</v>
      </c>
      <c r="M48" s="21" t="s">
        <v>53</v>
      </c>
    </row>
    <row r="49" spans="12:13" x14ac:dyDescent="0.2">
      <c r="L49" s="21">
        <v>13645</v>
      </c>
      <c r="M49" s="21" t="s">
        <v>243</v>
      </c>
    </row>
    <row r="50" spans="12:13" x14ac:dyDescent="0.2">
      <c r="L50" s="21">
        <v>13649</v>
      </c>
      <c r="M50" s="21" t="s">
        <v>277</v>
      </c>
    </row>
    <row r="51" spans="12:13" x14ac:dyDescent="0.2">
      <c r="L51" s="21">
        <v>13895</v>
      </c>
      <c r="M51" s="21" t="s">
        <v>46</v>
      </c>
    </row>
    <row r="52" spans="12:13" x14ac:dyDescent="0.2">
      <c r="L52" s="21">
        <v>13963</v>
      </c>
      <c r="M52" s="21" t="s">
        <v>254</v>
      </c>
    </row>
    <row r="53" spans="12:13" x14ac:dyDescent="0.2">
      <c r="L53" s="21">
        <v>14160</v>
      </c>
      <c r="M53" s="21" t="s">
        <v>110</v>
      </c>
    </row>
    <row r="54" spans="12:13" x14ac:dyDescent="0.2">
      <c r="L54" s="21">
        <v>14271</v>
      </c>
      <c r="M54" s="21" t="s">
        <v>149</v>
      </c>
    </row>
    <row r="55" spans="12:13" x14ac:dyDescent="0.2">
      <c r="L55" s="21">
        <v>15386</v>
      </c>
      <c r="M55" s="21" t="s">
        <v>33</v>
      </c>
    </row>
    <row r="56" spans="12:13" x14ac:dyDescent="0.2">
      <c r="L56" s="21">
        <v>15802</v>
      </c>
      <c r="M56" s="21" t="s">
        <v>92</v>
      </c>
    </row>
    <row r="57" spans="12:13" x14ac:dyDescent="0.2">
      <c r="L57" s="21">
        <v>15917</v>
      </c>
      <c r="M57" s="21" t="s">
        <v>146</v>
      </c>
    </row>
    <row r="58" spans="12:13" x14ac:dyDescent="0.2">
      <c r="L58" s="21">
        <v>16121</v>
      </c>
      <c r="M58" s="21" t="s">
        <v>96</v>
      </c>
    </row>
    <row r="59" spans="12:13" x14ac:dyDescent="0.2">
      <c r="L59" s="21">
        <v>16198</v>
      </c>
      <c r="M59" s="21" t="s">
        <v>167</v>
      </c>
    </row>
    <row r="60" spans="12:13" x14ac:dyDescent="0.2">
      <c r="L60" s="21">
        <v>16561</v>
      </c>
      <c r="M60" s="21" t="s">
        <v>77</v>
      </c>
    </row>
    <row r="61" spans="12:13" x14ac:dyDescent="0.2">
      <c r="L61" s="21">
        <v>17915</v>
      </c>
      <c r="M61" s="21" t="s">
        <v>180</v>
      </c>
    </row>
    <row r="62" spans="12:13" x14ac:dyDescent="0.2">
      <c r="L62" s="21">
        <v>19501</v>
      </c>
      <c r="M62" s="21" t="s">
        <v>267</v>
      </c>
    </row>
    <row r="63" spans="12:13" x14ac:dyDescent="0.2">
      <c r="L63" s="21">
        <v>19547</v>
      </c>
      <c r="M63" s="21" t="s">
        <v>100</v>
      </c>
    </row>
    <row r="64" spans="12:13" x14ac:dyDescent="0.2">
      <c r="L64" s="21">
        <v>19644</v>
      </c>
      <c r="M64" s="21" t="s">
        <v>294</v>
      </c>
    </row>
    <row r="65" spans="12:13" x14ac:dyDescent="0.2">
      <c r="L65" s="21">
        <v>20389</v>
      </c>
      <c r="M65" s="21" t="s">
        <v>82</v>
      </c>
    </row>
    <row r="66" spans="12:13" x14ac:dyDescent="0.2">
      <c r="L66" s="21">
        <v>21147</v>
      </c>
      <c r="M66" s="21" t="s">
        <v>156</v>
      </c>
    </row>
    <row r="67" spans="12:13" x14ac:dyDescent="0.2">
      <c r="L67" s="21">
        <v>21504</v>
      </c>
      <c r="M67" s="21" t="s">
        <v>287</v>
      </c>
    </row>
    <row r="68" spans="12:13" x14ac:dyDescent="0.2">
      <c r="L68" s="21">
        <v>22186</v>
      </c>
      <c r="M68" s="21" t="s">
        <v>75</v>
      </c>
    </row>
    <row r="69" spans="12:13" x14ac:dyDescent="0.2">
      <c r="L69" s="21">
        <v>23028</v>
      </c>
      <c r="M69" s="21" t="s">
        <v>143</v>
      </c>
    </row>
    <row r="70" spans="12:13" x14ac:dyDescent="0.2">
      <c r="L70" s="21">
        <v>23213</v>
      </c>
      <c r="M70" s="21" t="s">
        <v>140</v>
      </c>
    </row>
    <row r="71" spans="12:13" x14ac:dyDescent="0.2">
      <c r="L71" s="21">
        <v>23687</v>
      </c>
      <c r="M71" s="21" t="s">
        <v>13</v>
      </c>
    </row>
    <row r="72" spans="12:13" x14ac:dyDescent="0.2">
      <c r="L72" s="21">
        <v>23999</v>
      </c>
      <c r="M72" s="21" t="s">
        <v>272</v>
      </c>
    </row>
    <row r="73" spans="12:13" x14ac:dyDescent="0.2">
      <c r="L73" s="21">
        <v>24556</v>
      </c>
      <c r="M73" s="21" t="s">
        <v>135</v>
      </c>
    </row>
    <row r="74" spans="12:13" x14ac:dyDescent="0.2">
      <c r="L74" s="21">
        <v>24662</v>
      </c>
      <c r="M74" s="21" t="s">
        <v>242</v>
      </c>
    </row>
    <row r="75" spans="12:13" x14ac:dyDescent="0.2">
      <c r="L75" s="21">
        <v>24816</v>
      </c>
      <c r="M75" s="21" t="s">
        <v>20</v>
      </c>
    </row>
    <row r="76" spans="12:13" x14ac:dyDescent="0.2">
      <c r="L76" s="21">
        <v>25587</v>
      </c>
      <c r="M76" s="21" t="s">
        <v>216</v>
      </c>
    </row>
    <row r="77" spans="12:13" x14ac:dyDescent="0.2">
      <c r="L77" s="21">
        <v>25705</v>
      </c>
      <c r="M77" s="21" t="s">
        <v>80</v>
      </c>
    </row>
    <row r="78" spans="12:13" x14ac:dyDescent="0.2">
      <c r="L78" s="21">
        <v>26427</v>
      </c>
      <c r="M78" s="21" t="s">
        <v>147</v>
      </c>
    </row>
    <row r="79" spans="12:13" x14ac:dyDescent="0.2">
      <c r="L79" s="21">
        <v>26516</v>
      </c>
      <c r="M79" s="21" t="s">
        <v>21</v>
      </c>
    </row>
    <row r="80" spans="12:13" x14ac:dyDescent="0.2">
      <c r="L80" s="21">
        <v>26930</v>
      </c>
      <c r="M80" s="21" t="s">
        <v>247</v>
      </c>
    </row>
    <row r="81" spans="12:13" x14ac:dyDescent="0.2">
      <c r="L81" s="21">
        <v>27906</v>
      </c>
      <c r="M81" s="21" t="s">
        <v>38</v>
      </c>
    </row>
    <row r="82" spans="12:13" x14ac:dyDescent="0.2">
      <c r="L82" s="21">
        <v>28476</v>
      </c>
      <c r="M82" s="21" t="s">
        <v>195</v>
      </c>
    </row>
    <row r="83" spans="12:13" x14ac:dyDescent="0.2">
      <c r="L83" s="21">
        <v>29309</v>
      </c>
      <c r="M83" s="21" t="s">
        <v>203</v>
      </c>
    </row>
    <row r="84" spans="12:13" x14ac:dyDescent="0.2">
      <c r="L84" s="21">
        <v>30102</v>
      </c>
      <c r="M84" s="21" t="s">
        <v>48</v>
      </c>
    </row>
    <row r="85" spans="12:13" x14ac:dyDescent="0.2">
      <c r="L85" s="21">
        <v>30355</v>
      </c>
      <c r="M85" s="21" t="s">
        <v>235</v>
      </c>
    </row>
    <row r="86" spans="12:13" x14ac:dyDescent="0.2">
      <c r="L86" s="21">
        <v>30550</v>
      </c>
      <c r="M86" s="21" t="s">
        <v>211</v>
      </c>
    </row>
    <row r="87" spans="12:13" x14ac:dyDescent="0.2">
      <c r="L87" s="21">
        <v>30952</v>
      </c>
      <c r="M87" s="21" t="s">
        <v>28</v>
      </c>
    </row>
    <row r="88" spans="12:13" x14ac:dyDescent="0.2">
      <c r="L88" s="21">
        <v>31569</v>
      </c>
      <c r="M88" s="21" t="s">
        <v>31</v>
      </c>
    </row>
    <row r="89" spans="12:13" x14ac:dyDescent="0.2">
      <c r="L89" s="21">
        <v>32446</v>
      </c>
      <c r="M89" s="21" t="s">
        <v>205</v>
      </c>
    </row>
    <row r="90" spans="12:13" x14ac:dyDescent="0.2">
      <c r="L90" s="21">
        <v>32518</v>
      </c>
      <c r="M90" s="21" t="s">
        <v>245</v>
      </c>
    </row>
    <row r="91" spans="12:13" x14ac:dyDescent="0.2">
      <c r="L91" s="21">
        <v>32846</v>
      </c>
      <c r="M91" s="21" t="s">
        <v>127</v>
      </c>
    </row>
    <row r="92" spans="12:13" x14ac:dyDescent="0.2">
      <c r="L92" s="21">
        <v>32915</v>
      </c>
      <c r="M92" s="21" t="s">
        <v>84</v>
      </c>
    </row>
    <row r="93" spans="12:13" x14ac:dyDescent="0.2">
      <c r="L93" s="21">
        <v>33732</v>
      </c>
      <c r="M93" s="21" t="s">
        <v>274</v>
      </c>
    </row>
    <row r="94" spans="12:13" x14ac:dyDescent="0.2">
      <c r="L94" s="21">
        <v>34055</v>
      </c>
      <c r="M94" s="21" t="s">
        <v>238</v>
      </c>
    </row>
    <row r="95" spans="12:13" x14ac:dyDescent="0.2">
      <c r="L95" s="21">
        <v>34179</v>
      </c>
      <c r="M95" s="21" t="s">
        <v>128</v>
      </c>
    </row>
    <row r="96" spans="12:13" x14ac:dyDescent="0.2">
      <c r="L96" s="21">
        <v>34285</v>
      </c>
      <c r="M96" s="21" t="s">
        <v>104</v>
      </c>
    </row>
    <row r="97" spans="12:13" x14ac:dyDescent="0.2">
      <c r="L97" s="21">
        <v>34305</v>
      </c>
      <c r="M97" s="21" t="s">
        <v>227</v>
      </c>
    </row>
    <row r="98" spans="12:13" x14ac:dyDescent="0.2">
      <c r="L98" s="21">
        <v>34336</v>
      </c>
      <c r="M98" s="21" t="s">
        <v>32</v>
      </c>
    </row>
    <row r="99" spans="12:13" x14ac:dyDescent="0.2">
      <c r="L99" s="21">
        <v>34471</v>
      </c>
      <c r="M99" s="21" t="s">
        <v>297</v>
      </c>
    </row>
    <row r="100" spans="12:13" x14ac:dyDescent="0.2">
      <c r="L100" s="21">
        <v>34813</v>
      </c>
      <c r="M100" s="21" t="s">
        <v>275</v>
      </c>
    </row>
    <row r="101" spans="12:13" x14ac:dyDescent="0.2">
      <c r="L101" s="21">
        <v>35054</v>
      </c>
      <c r="M101" s="21" t="s">
        <v>262</v>
      </c>
    </row>
    <row r="102" spans="12:13" x14ac:dyDescent="0.2">
      <c r="L102" s="21">
        <v>35337</v>
      </c>
      <c r="M102" s="21" t="s">
        <v>282</v>
      </c>
    </row>
    <row r="103" spans="12:13" x14ac:dyDescent="0.2">
      <c r="L103" s="21">
        <v>35454</v>
      </c>
      <c r="M103" s="21" t="s">
        <v>86</v>
      </c>
    </row>
    <row r="104" spans="12:13" x14ac:dyDescent="0.2">
      <c r="L104" s="21">
        <v>36074</v>
      </c>
      <c r="M104" s="21" t="s">
        <v>138</v>
      </c>
    </row>
    <row r="105" spans="12:13" x14ac:dyDescent="0.2">
      <c r="L105" s="21">
        <v>36357</v>
      </c>
      <c r="M105" s="21" t="s">
        <v>278</v>
      </c>
    </row>
    <row r="106" spans="12:13" x14ac:dyDescent="0.2">
      <c r="L106" s="21">
        <v>36380</v>
      </c>
      <c r="M106" s="21" t="s">
        <v>93</v>
      </c>
    </row>
    <row r="107" spans="12:13" x14ac:dyDescent="0.2">
      <c r="L107" s="21">
        <v>36497</v>
      </c>
      <c r="M107" s="21" t="s">
        <v>151</v>
      </c>
    </row>
    <row r="108" spans="12:13" x14ac:dyDescent="0.2">
      <c r="L108" s="21">
        <v>37108</v>
      </c>
      <c r="M108" s="21" t="s">
        <v>14</v>
      </c>
    </row>
    <row r="109" spans="12:13" x14ac:dyDescent="0.2">
      <c r="L109" s="21">
        <v>37124</v>
      </c>
      <c r="M109" s="21" t="s">
        <v>175</v>
      </c>
    </row>
    <row r="110" spans="12:13" x14ac:dyDescent="0.2">
      <c r="L110" s="21">
        <v>37363</v>
      </c>
      <c r="M110" s="21" t="s">
        <v>284</v>
      </c>
    </row>
    <row r="111" spans="12:13" x14ac:dyDescent="0.2">
      <c r="L111" s="21">
        <v>37530</v>
      </c>
      <c r="M111" s="21" t="s">
        <v>239</v>
      </c>
    </row>
    <row r="112" spans="12:13" x14ac:dyDescent="0.2">
      <c r="L112" s="21">
        <v>37563</v>
      </c>
      <c r="M112" s="21" t="s">
        <v>279</v>
      </c>
    </row>
    <row r="113" spans="12:13" x14ac:dyDescent="0.2">
      <c r="L113" s="21">
        <v>37585</v>
      </c>
      <c r="M113" s="21" t="s">
        <v>68</v>
      </c>
    </row>
    <row r="114" spans="12:13" x14ac:dyDescent="0.2">
      <c r="L114" s="21">
        <v>37791</v>
      </c>
      <c r="M114" s="21" t="s">
        <v>231</v>
      </c>
    </row>
    <row r="115" spans="12:13" x14ac:dyDescent="0.2">
      <c r="L115" s="21">
        <v>37948</v>
      </c>
      <c r="M115" s="21" t="s">
        <v>69</v>
      </c>
    </row>
    <row r="116" spans="12:13" x14ac:dyDescent="0.2">
      <c r="L116" s="21">
        <v>38113</v>
      </c>
      <c r="M116" s="21" t="s">
        <v>213</v>
      </c>
    </row>
    <row r="117" spans="12:13" x14ac:dyDescent="0.2">
      <c r="L117" s="21">
        <v>38235</v>
      </c>
      <c r="M117" s="21" t="s">
        <v>62</v>
      </c>
    </row>
    <row r="118" spans="12:13" x14ac:dyDescent="0.2">
      <c r="L118" s="21">
        <v>38304</v>
      </c>
      <c r="M118" s="21" t="s">
        <v>286</v>
      </c>
    </row>
    <row r="119" spans="12:13" x14ac:dyDescent="0.2">
      <c r="L119" s="21">
        <v>38536</v>
      </c>
      <c r="M119" s="21" t="s">
        <v>99</v>
      </c>
    </row>
    <row r="120" spans="12:13" x14ac:dyDescent="0.2">
      <c r="L120" s="21">
        <v>38982</v>
      </c>
      <c r="M120" s="21" t="s">
        <v>119</v>
      </c>
    </row>
    <row r="121" spans="12:13" x14ac:dyDescent="0.2">
      <c r="L121" s="21">
        <v>39486</v>
      </c>
      <c r="M121" s="21" t="s">
        <v>21</v>
      </c>
    </row>
    <row r="122" spans="12:13" x14ac:dyDescent="0.2">
      <c r="L122" s="21">
        <v>39636</v>
      </c>
      <c r="M122" s="21" t="s">
        <v>136</v>
      </c>
    </row>
    <row r="123" spans="12:13" x14ac:dyDescent="0.2">
      <c r="L123" s="21">
        <v>40484</v>
      </c>
      <c r="M123" s="21" t="s">
        <v>101</v>
      </c>
    </row>
    <row r="124" spans="12:13" x14ac:dyDescent="0.2">
      <c r="L124" s="21">
        <v>40509</v>
      </c>
      <c r="M124" s="21" t="s">
        <v>251</v>
      </c>
    </row>
    <row r="125" spans="12:13" x14ac:dyDescent="0.2">
      <c r="L125" s="21">
        <v>40630</v>
      </c>
      <c r="M125" s="21" t="s">
        <v>131</v>
      </c>
    </row>
    <row r="126" spans="12:13" x14ac:dyDescent="0.2">
      <c r="L126" s="21">
        <v>40687</v>
      </c>
      <c r="M126" s="21" t="s">
        <v>47</v>
      </c>
    </row>
    <row r="127" spans="12:13" x14ac:dyDescent="0.2">
      <c r="L127" s="21">
        <v>41085</v>
      </c>
      <c r="M127" s="21" t="s">
        <v>272</v>
      </c>
    </row>
    <row r="128" spans="12:13" x14ac:dyDescent="0.2">
      <c r="L128" s="21">
        <v>41088</v>
      </c>
      <c r="M128" s="21" t="s">
        <v>222</v>
      </c>
    </row>
    <row r="129" spans="12:13" x14ac:dyDescent="0.2">
      <c r="L129" s="21">
        <v>41121</v>
      </c>
      <c r="M129" s="21" t="s">
        <v>295</v>
      </c>
    </row>
    <row r="130" spans="12:13" x14ac:dyDescent="0.2">
      <c r="L130" s="21">
        <v>41293</v>
      </c>
      <c r="M130" s="21" t="s">
        <v>76</v>
      </c>
    </row>
    <row r="131" spans="12:13" x14ac:dyDescent="0.2">
      <c r="L131" s="21">
        <v>41501</v>
      </c>
      <c r="M131" s="21" t="s">
        <v>66</v>
      </c>
    </row>
    <row r="132" spans="12:13" x14ac:dyDescent="0.2">
      <c r="L132" s="21">
        <v>41583</v>
      </c>
      <c r="M132" s="21" t="s">
        <v>258</v>
      </c>
    </row>
    <row r="133" spans="12:13" x14ac:dyDescent="0.2">
      <c r="L133" s="21">
        <v>41826</v>
      </c>
      <c r="M133" s="21" t="s">
        <v>230</v>
      </c>
    </row>
    <row r="134" spans="12:13" x14ac:dyDescent="0.2">
      <c r="L134" s="21">
        <v>41953</v>
      </c>
      <c r="M134" s="21" t="s">
        <v>176</v>
      </c>
    </row>
    <row r="135" spans="12:13" x14ac:dyDescent="0.2">
      <c r="L135" s="21">
        <v>42319</v>
      </c>
      <c r="M135" s="21" t="s">
        <v>189</v>
      </c>
    </row>
    <row r="136" spans="12:13" x14ac:dyDescent="0.2">
      <c r="L136" s="21">
        <v>42374</v>
      </c>
      <c r="M136" s="21" t="s">
        <v>73</v>
      </c>
    </row>
    <row r="137" spans="12:13" x14ac:dyDescent="0.2">
      <c r="L137" s="21">
        <v>42874</v>
      </c>
      <c r="M137" s="21" t="s">
        <v>170</v>
      </c>
    </row>
    <row r="138" spans="12:13" x14ac:dyDescent="0.2">
      <c r="L138" s="21">
        <v>42944</v>
      </c>
      <c r="M138" s="21" t="s">
        <v>87</v>
      </c>
    </row>
    <row r="139" spans="12:13" x14ac:dyDescent="0.2">
      <c r="L139" s="21">
        <v>43369</v>
      </c>
      <c r="M139" s="21" t="s">
        <v>50</v>
      </c>
    </row>
    <row r="140" spans="12:13" x14ac:dyDescent="0.2">
      <c r="L140" s="21">
        <v>43398</v>
      </c>
      <c r="M140" s="21" t="s">
        <v>285</v>
      </c>
    </row>
    <row r="141" spans="12:13" x14ac:dyDescent="0.2">
      <c r="L141" s="21">
        <v>43550</v>
      </c>
      <c r="M141" s="21" t="s">
        <v>224</v>
      </c>
    </row>
    <row r="142" spans="12:13" x14ac:dyDescent="0.2">
      <c r="L142" s="21">
        <v>43751</v>
      </c>
      <c r="M142" s="21" t="s">
        <v>283</v>
      </c>
    </row>
    <row r="143" spans="12:13" x14ac:dyDescent="0.2">
      <c r="L143" s="21">
        <v>43933</v>
      </c>
      <c r="M143" s="21" t="s">
        <v>56</v>
      </c>
    </row>
    <row r="144" spans="12:13" x14ac:dyDescent="0.2">
      <c r="L144" s="21">
        <v>43960</v>
      </c>
      <c r="M144" s="21" t="s">
        <v>161</v>
      </c>
    </row>
    <row r="145" spans="12:13" x14ac:dyDescent="0.2">
      <c r="L145" s="21">
        <v>44165</v>
      </c>
      <c r="M145" s="21" t="s">
        <v>163</v>
      </c>
    </row>
    <row r="146" spans="12:13" x14ac:dyDescent="0.2">
      <c r="L146" s="21">
        <v>44193</v>
      </c>
      <c r="M146" s="21" t="s">
        <v>120</v>
      </c>
    </row>
    <row r="147" spans="12:13" x14ac:dyDescent="0.2">
      <c r="L147" s="21">
        <v>44457</v>
      </c>
      <c r="M147" s="21" t="s">
        <v>197</v>
      </c>
    </row>
    <row r="148" spans="12:13" x14ac:dyDescent="0.2">
      <c r="L148" s="21">
        <v>44500</v>
      </c>
      <c r="M148" s="21" t="s">
        <v>268</v>
      </c>
    </row>
    <row r="149" spans="12:13" x14ac:dyDescent="0.2">
      <c r="L149" s="21">
        <v>44557</v>
      </c>
      <c r="M149" s="21" t="s">
        <v>40</v>
      </c>
    </row>
    <row r="150" spans="12:13" x14ac:dyDescent="0.2">
      <c r="L150" s="21">
        <v>44642</v>
      </c>
      <c r="M150" s="21" t="s">
        <v>232</v>
      </c>
    </row>
    <row r="151" spans="12:13" x14ac:dyDescent="0.2">
      <c r="L151" s="21">
        <v>44868</v>
      </c>
      <c r="M151" s="21" t="s">
        <v>83</v>
      </c>
    </row>
    <row r="152" spans="12:13" x14ac:dyDescent="0.2">
      <c r="L152" s="21">
        <v>45016</v>
      </c>
      <c r="M152" s="21" t="s">
        <v>164</v>
      </c>
    </row>
    <row r="153" spans="12:13" x14ac:dyDescent="0.2">
      <c r="L153" s="21">
        <v>45239</v>
      </c>
      <c r="M153" s="21" t="s">
        <v>244</v>
      </c>
    </row>
    <row r="154" spans="12:13" x14ac:dyDescent="0.2">
      <c r="L154" s="21">
        <v>45738</v>
      </c>
      <c r="M154" s="21" t="s">
        <v>172</v>
      </c>
    </row>
    <row r="155" spans="12:13" x14ac:dyDescent="0.2">
      <c r="L155" s="21">
        <v>45855</v>
      </c>
      <c r="M155" s="21" t="s">
        <v>39</v>
      </c>
    </row>
    <row r="156" spans="12:13" x14ac:dyDescent="0.2">
      <c r="L156" s="21">
        <v>46213</v>
      </c>
      <c r="M156" s="21" t="s">
        <v>114</v>
      </c>
    </row>
    <row r="157" spans="12:13" x14ac:dyDescent="0.2">
      <c r="L157" s="21">
        <v>46474</v>
      </c>
      <c r="M157" s="21" t="s">
        <v>190</v>
      </c>
    </row>
    <row r="158" spans="12:13" x14ac:dyDescent="0.2">
      <c r="L158" s="21">
        <v>46989</v>
      </c>
      <c r="M158" s="21" t="s">
        <v>165</v>
      </c>
    </row>
    <row r="159" spans="12:13" x14ac:dyDescent="0.2">
      <c r="L159" s="21">
        <v>47249</v>
      </c>
      <c r="M159" s="21" t="s">
        <v>89</v>
      </c>
    </row>
    <row r="160" spans="12:13" x14ac:dyDescent="0.2">
      <c r="L160" s="21">
        <v>47464</v>
      </c>
      <c r="M160" s="21" t="s">
        <v>130</v>
      </c>
    </row>
    <row r="161" spans="12:13" x14ac:dyDescent="0.2">
      <c r="L161" s="21">
        <v>47614</v>
      </c>
      <c r="M161" s="21" t="s">
        <v>150</v>
      </c>
    </row>
    <row r="162" spans="12:13" x14ac:dyDescent="0.2">
      <c r="L162" s="21">
        <v>48078</v>
      </c>
      <c r="M162" s="21" t="s">
        <v>226</v>
      </c>
    </row>
    <row r="163" spans="12:13" x14ac:dyDescent="0.2">
      <c r="L163" s="21">
        <v>48113</v>
      </c>
      <c r="M163" s="21" t="s">
        <v>89</v>
      </c>
    </row>
    <row r="164" spans="12:13" x14ac:dyDescent="0.2">
      <c r="L164" s="21">
        <v>48127</v>
      </c>
      <c r="M164" s="21" t="s">
        <v>57</v>
      </c>
    </row>
    <row r="165" spans="12:13" x14ac:dyDescent="0.2">
      <c r="L165" s="21">
        <v>48150</v>
      </c>
      <c r="M165" s="21" t="s">
        <v>121</v>
      </c>
    </row>
    <row r="166" spans="12:13" x14ac:dyDescent="0.2">
      <c r="L166" s="21">
        <v>48264</v>
      </c>
      <c r="M166" s="21" t="s">
        <v>41</v>
      </c>
    </row>
    <row r="167" spans="12:13" x14ac:dyDescent="0.2">
      <c r="L167" s="21">
        <v>48433</v>
      </c>
      <c r="M167" s="21" t="s">
        <v>181</v>
      </c>
    </row>
    <row r="168" spans="12:13" x14ac:dyDescent="0.2">
      <c r="L168" s="21">
        <v>48601</v>
      </c>
      <c r="M168" s="21" t="s">
        <v>237</v>
      </c>
    </row>
    <row r="169" spans="12:13" x14ac:dyDescent="0.2">
      <c r="L169" s="21">
        <v>48906</v>
      </c>
      <c r="M169" s="21" t="s">
        <v>94</v>
      </c>
    </row>
    <row r="170" spans="12:13" x14ac:dyDescent="0.2">
      <c r="L170" s="21">
        <v>48921</v>
      </c>
      <c r="M170" s="21" t="s">
        <v>109</v>
      </c>
    </row>
    <row r="171" spans="12:13" x14ac:dyDescent="0.2">
      <c r="L171" s="21">
        <v>48999</v>
      </c>
      <c r="M171" s="21" t="s">
        <v>202</v>
      </c>
    </row>
    <row r="172" spans="12:13" x14ac:dyDescent="0.2">
      <c r="L172" s="21">
        <v>49123</v>
      </c>
      <c r="M172" s="21" t="s">
        <v>186</v>
      </c>
    </row>
    <row r="173" spans="12:13" x14ac:dyDescent="0.2">
      <c r="L173" s="21">
        <v>49413</v>
      </c>
      <c r="M173" s="21" t="s">
        <v>118</v>
      </c>
    </row>
    <row r="174" spans="12:13" x14ac:dyDescent="0.2">
      <c r="L174" s="21">
        <v>49457</v>
      </c>
      <c r="M174" s="21" t="s">
        <v>215</v>
      </c>
    </row>
    <row r="175" spans="12:13" x14ac:dyDescent="0.2">
      <c r="L175" s="21">
        <v>49468</v>
      </c>
      <c r="M175" s="21" t="s">
        <v>117</v>
      </c>
    </row>
    <row r="176" spans="12:13" x14ac:dyDescent="0.2">
      <c r="L176" s="21">
        <v>49484</v>
      </c>
      <c r="M176" s="21" t="s">
        <v>160</v>
      </c>
    </row>
    <row r="177" spans="12:13" x14ac:dyDescent="0.2">
      <c r="L177" s="21">
        <v>49555</v>
      </c>
      <c r="M177" s="21" t="s">
        <v>178</v>
      </c>
    </row>
    <row r="178" spans="12:13" x14ac:dyDescent="0.2">
      <c r="L178" s="21">
        <v>49873</v>
      </c>
      <c r="M178" s="21" t="s">
        <v>169</v>
      </c>
    </row>
    <row r="179" spans="12:13" x14ac:dyDescent="0.2">
      <c r="L179" s="21">
        <v>49886</v>
      </c>
      <c r="M179" s="21" t="s">
        <v>225</v>
      </c>
    </row>
    <row r="180" spans="12:13" x14ac:dyDescent="0.2">
      <c r="L180" s="21">
        <v>50612</v>
      </c>
      <c r="M180" s="21" t="s">
        <v>152</v>
      </c>
    </row>
    <row r="181" spans="12:13" x14ac:dyDescent="0.2">
      <c r="L181" s="21">
        <v>50684</v>
      </c>
      <c r="M181" s="21" t="s">
        <v>42</v>
      </c>
    </row>
    <row r="182" spans="12:13" x14ac:dyDescent="0.2">
      <c r="L182" s="21">
        <v>51129</v>
      </c>
      <c r="M182" s="21" t="s">
        <v>35</v>
      </c>
    </row>
    <row r="183" spans="12:13" x14ac:dyDescent="0.2">
      <c r="L183" s="21">
        <v>51674</v>
      </c>
      <c r="M183" s="21" t="s">
        <v>18</v>
      </c>
    </row>
    <row r="184" spans="12:13" x14ac:dyDescent="0.2">
      <c r="L184" s="21">
        <v>52122</v>
      </c>
      <c r="M184" s="21" t="s">
        <v>34</v>
      </c>
    </row>
    <row r="185" spans="12:13" x14ac:dyDescent="0.2">
      <c r="L185" s="21">
        <v>52172</v>
      </c>
      <c r="M185" s="21" t="s">
        <v>126</v>
      </c>
    </row>
    <row r="186" spans="12:13" x14ac:dyDescent="0.2">
      <c r="L186" s="21">
        <v>52837</v>
      </c>
      <c r="M186" s="21" t="s">
        <v>75</v>
      </c>
    </row>
    <row r="187" spans="12:13" x14ac:dyDescent="0.2">
      <c r="L187" s="21">
        <v>52934</v>
      </c>
      <c r="M187" s="21" t="s">
        <v>74</v>
      </c>
    </row>
    <row r="188" spans="12:13" x14ac:dyDescent="0.2">
      <c r="L188" s="21">
        <v>53082</v>
      </c>
      <c r="M188" s="21" t="s">
        <v>162</v>
      </c>
    </row>
    <row r="189" spans="12:13" x14ac:dyDescent="0.2">
      <c r="L189" s="21">
        <v>53106</v>
      </c>
      <c r="M189" s="21" t="s">
        <v>259</v>
      </c>
    </row>
    <row r="190" spans="12:13" x14ac:dyDescent="0.2">
      <c r="L190" s="21">
        <v>53238</v>
      </c>
      <c r="M190" s="21" t="s">
        <v>271</v>
      </c>
    </row>
    <row r="191" spans="12:13" x14ac:dyDescent="0.2">
      <c r="L191" s="21">
        <v>53401</v>
      </c>
      <c r="M191" s="21" t="s">
        <v>133</v>
      </c>
    </row>
    <row r="192" spans="12:13" x14ac:dyDescent="0.2">
      <c r="L192" s="21">
        <v>53408</v>
      </c>
      <c r="M192" s="21" t="s">
        <v>188</v>
      </c>
    </row>
    <row r="193" spans="12:13" x14ac:dyDescent="0.2">
      <c r="L193" s="21">
        <v>53654</v>
      </c>
      <c r="M193" s="21" t="s">
        <v>36</v>
      </c>
    </row>
    <row r="194" spans="12:13" x14ac:dyDescent="0.2">
      <c r="L194" s="21">
        <v>54258</v>
      </c>
      <c r="M194" s="21" t="s">
        <v>145</v>
      </c>
    </row>
    <row r="195" spans="12:13" x14ac:dyDescent="0.2">
      <c r="L195" s="21">
        <v>54641</v>
      </c>
      <c r="M195" s="21" t="s">
        <v>31</v>
      </c>
    </row>
    <row r="196" spans="12:13" x14ac:dyDescent="0.2">
      <c r="L196" s="21">
        <v>54709</v>
      </c>
      <c r="M196" s="21" t="s">
        <v>204</v>
      </c>
    </row>
    <row r="197" spans="12:13" x14ac:dyDescent="0.2">
      <c r="L197" s="21">
        <v>54861</v>
      </c>
      <c r="M197" s="21" t="s">
        <v>22</v>
      </c>
    </row>
    <row r="198" spans="12:13" x14ac:dyDescent="0.2">
      <c r="L198" s="21">
        <v>54989</v>
      </c>
      <c r="M198" s="21" t="s">
        <v>191</v>
      </c>
    </row>
    <row r="199" spans="12:13" x14ac:dyDescent="0.2">
      <c r="L199" s="21">
        <v>55134</v>
      </c>
      <c r="M199" s="21" t="s">
        <v>43</v>
      </c>
    </row>
    <row r="200" spans="12:13" x14ac:dyDescent="0.2">
      <c r="L200" s="21">
        <v>55450</v>
      </c>
      <c r="M200" s="21" t="s">
        <v>253</v>
      </c>
    </row>
    <row r="201" spans="12:13" x14ac:dyDescent="0.2">
      <c r="L201" s="21">
        <v>55575</v>
      </c>
      <c r="M201" s="21" t="s">
        <v>102</v>
      </c>
    </row>
    <row r="202" spans="12:13" x14ac:dyDescent="0.2">
      <c r="L202" s="21">
        <v>55849</v>
      </c>
      <c r="M202" s="21" t="s">
        <v>264</v>
      </c>
    </row>
    <row r="203" spans="12:13" x14ac:dyDescent="0.2">
      <c r="L203" s="21">
        <v>55856</v>
      </c>
      <c r="M203" s="21" t="s">
        <v>67</v>
      </c>
    </row>
    <row r="204" spans="12:13" x14ac:dyDescent="0.2">
      <c r="L204" s="21">
        <v>56701</v>
      </c>
      <c r="M204" s="21" t="s">
        <v>280</v>
      </c>
    </row>
    <row r="205" spans="12:13" x14ac:dyDescent="0.2">
      <c r="L205" s="21">
        <v>56961</v>
      </c>
      <c r="M205" s="21" t="s">
        <v>51</v>
      </c>
    </row>
    <row r="206" spans="12:13" x14ac:dyDescent="0.2">
      <c r="L206" s="21">
        <v>57025</v>
      </c>
      <c r="M206" s="21" t="s">
        <v>142</v>
      </c>
    </row>
    <row r="207" spans="12:13" x14ac:dyDescent="0.2">
      <c r="L207" s="21">
        <v>57032</v>
      </c>
      <c r="M207" s="21" t="s">
        <v>248</v>
      </c>
    </row>
    <row r="208" spans="12:13" x14ac:dyDescent="0.2">
      <c r="L208" s="21">
        <v>57402</v>
      </c>
      <c r="M208" s="21" t="s">
        <v>172</v>
      </c>
    </row>
    <row r="209" spans="12:13" x14ac:dyDescent="0.2">
      <c r="L209" s="21">
        <v>59325</v>
      </c>
      <c r="M209" s="21" t="s">
        <v>144</v>
      </c>
    </row>
    <row r="210" spans="12:13" x14ac:dyDescent="0.2">
      <c r="L210" s="21">
        <v>59364</v>
      </c>
      <c r="M210" s="21" t="s">
        <v>30</v>
      </c>
    </row>
    <row r="211" spans="12:13" x14ac:dyDescent="0.2">
      <c r="L211" s="21">
        <v>59728</v>
      </c>
      <c r="M211" s="21" t="s">
        <v>0</v>
      </c>
    </row>
    <row r="212" spans="12:13" x14ac:dyDescent="0.2">
      <c r="L212" s="21">
        <v>59751</v>
      </c>
      <c r="M212" s="21" t="s">
        <v>137</v>
      </c>
    </row>
    <row r="213" spans="12:13" x14ac:dyDescent="0.2">
      <c r="L213" s="21">
        <v>59787</v>
      </c>
      <c r="M213" s="21" t="s">
        <v>256</v>
      </c>
    </row>
    <row r="214" spans="12:13" x14ac:dyDescent="0.2">
      <c r="L214" s="21">
        <v>60043</v>
      </c>
      <c r="M214" s="21" t="s">
        <v>290</v>
      </c>
    </row>
    <row r="215" spans="12:13" x14ac:dyDescent="0.2">
      <c r="L215" s="21">
        <v>60552</v>
      </c>
      <c r="M215" s="21" t="s">
        <v>85</v>
      </c>
    </row>
    <row r="216" spans="12:13" x14ac:dyDescent="0.2">
      <c r="L216" s="21">
        <v>60622</v>
      </c>
      <c r="M216" s="21" t="s">
        <v>206</v>
      </c>
    </row>
    <row r="217" spans="12:13" x14ac:dyDescent="0.2">
      <c r="L217" s="21">
        <v>60839</v>
      </c>
      <c r="M217" s="21" t="s">
        <v>113</v>
      </c>
    </row>
    <row r="218" spans="12:13" x14ac:dyDescent="0.2">
      <c r="L218" s="21">
        <v>61031</v>
      </c>
      <c r="M218" s="21" t="s">
        <v>214</v>
      </c>
    </row>
    <row r="219" spans="12:13" x14ac:dyDescent="0.2">
      <c r="L219" s="21">
        <v>61276</v>
      </c>
      <c r="M219" s="21" t="s">
        <v>134</v>
      </c>
    </row>
    <row r="220" spans="12:13" x14ac:dyDescent="0.2">
      <c r="L220" s="21">
        <v>61552</v>
      </c>
      <c r="M220" s="21" t="s">
        <v>23</v>
      </c>
    </row>
    <row r="221" spans="12:13" x14ac:dyDescent="0.2">
      <c r="L221" s="21">
        <v>62262</v>
      </c>
      <c r="M221" s="21" t="s">
        <v>90</v>
      </c>
    </row>
    <row r="222" spans="12:13" x14ac:dyDescent="0.2">
      <c r="L222" s="21">
        <v>62727</v>
      </c>
      <c r="M222" s="21" t="s">
        <v>174</v>
      </c>
    </row>
    <row r="223" spans="12:13" x14ac:dyDescent="0.2">
      <c r="L223" s="21">
        <v>63032</v>
      </c>
      <c r="M223" s="21" t="s">
        <v>153</v>
      </c>
    </row>
    <row r="224" spans="12:13" x14ac:dyDescent="0.2">
      <c r="L224" s="21">
        <v>63212</v>
      </c>
      <c r="M224" s="21" t="s">
        <v>17</v>
      </c>
    </row>
    <row r="225" spans="12:13" x14ac:dyDescent="0.2">
      <c r="L225" s="21">
        <v>63217</v>
      </c>
      <c r="M225" s="21" t="s">
        <v>59</v>
      </c>
    </row>
    <row r="226" spans="12:13" x14ac:dyDescent="0.2">
      <c r="L226" s="21">
        <v>63230</v>
      </c>
      <c r="M226" s="21" t="s">
        <v>292</v>
      </c>
    </row>
    <row r="227" spans="12:13" x14ac:dyDescent="0.2">
      <c r="L227" s="21">
        <v>63234</v>
      </c>
      <c r="M227" s="21" t="s">
        <v>166</v>
      </c>
    </row>
    <row r="228" spans="12:13" x14ac:dyDescent="0.2">
      <c r="L228" s="21">
        <v>63258</v>
      </c>
      <c r="M228" s="21" t="s">
        <v>37</v>
      </c>
    </row>
    <row r="229" spans="12:13" x14ac:dyDescent="0.2">
      <c r="L229" s="21">
        <v>63480</v>
      </c>
      <c r="M229" s="21" t="s">
        <v>207</v>
      </c>
    </row>
    <row r="230" spans="12:13" x14ac:dyDescent="0.2">
      <c r="L230" s="21">
        <v>63764</v>
      </c>
      <c r="M230" s="21" t="s">
        <v>44</v>
      </c>
    </row>
    <row r="231" spans="12:13" x14ac:dyDescent="0.2">
      <c r="L231" s="21">
        <v>64322</v>
      </c>
      <c r="M231" s="21" t="s">
        <v>15</v>
      </c>
    </row>
    <row r="232" spans="12:13" x14ac:dyDescent="0.2">
      <c r="L232" s="21">
        <v>64568</v>
      </c>
      <c r="M232" s="21" t="s">
        <v>91</v>
      </c>
    </row>
    <row r="233" spans="12:13" x14ac:dyDescent="0.2">
      <c r="L233" s="21">
        <v>65035</v>
      </c>
      <c r="M233" s="21" t="s">
        <v>288</v>
      </c>
    </row>
    <row r="234" spans="12:13" x14ac:dyDescent="0.2">
      <c r="L234" s="21">
        <v>65084</v>
      </c>
      <c r="M234" s="21" t="s">
        <v>111</v>
      </c>
    </row>
    <row r="235" spans="12:13" x14ac:dyDescent="0.2">
      <c r="L235" s="21">
        <v>65460</v>
      </c>
      <c r="M235" s="21" t="s">
        <v>65</v>
      </c>
    </row>
    <row r="236" spans="12:13" x14ac:dyDescent="0.2">
      <c r="L236" s="21">
        <v>65833</v>
      </c>
      <c r="M236" s="21" t="s">
        <v>26</v>
      </c>
    </row>
    <row r="237" spans="12:13" x14ac:dyDescent="0.2">
      <c r="L237" s="21">
        <v>66420</v>
      </c>
      <c r="M237" s="21" t="s">
        <v>218</v>
      </c>
    </row>
    <row r="238" spans="12:13" x14ac:dyDescent="0.2">
      <c r="L238" s="21">
        <v>67398</v>
      </c>
      <c r="M238" s="21" t="s">
        <v>194</v>
      </c>
    </row>
    <row r="239" spans="12:13" x14ac:dyDescent="0.2">
      <c r="L239" s="21">
        <v>68216</v>
      </c>
      <c r="M239" s="21" t="s">
        <v>210</v>
      </c>
    </row>
    <row r="240" spans="12:13" x14ac:dyDescent="0.2">
      <c r="L240" s="21">
        <v>68425</v>
      </c>
      <c r="M240" s="21" t="s">
        <v>261</v>
      </c>
    </row>
    <row r="241" spans="12:13" x14ac:dyDescent="0.2">
      <c r="L241" s="21">
        <v>68514</v>
      </c>
      <c r="M241" s="21" t="s">
        <v>58</v>
      </c>
    </row>
    <row r="242" spans="12:13" x14ac:dyDescent="0.2">
      <c r="L242" s="21">
        <v>68530</v>
      </c>
      <c r="M242" s="21" t="s">
        <v>241</v>
      </c>
    </row>
    <row r="243" spans="12:13" x14ac:dyDescent="0.2">
      <c r="L243" s="21">
        <v>68671</v>
      </c>
      <c r="M243" s="21" t="s">
        <v>45</v>
      </c>
    </row>
    <row r="244" spans="12:13" x14ac:dyDescent="0.2">
      <c r="L244" s="21">
        <v>69116</v>
      </c>
      <c r="M244" s="21" t="s">
        <v>54</v>
      </c>
    </row>
    <row r="245" spans="12:13" x14ac:dyDescent="0.2">
      <c r="L245" s="21">
        <v>69187</v>
      </c>
      <c r="M245" s="21" t="s">
        <v>132</v>
      </c>
    </row>
    <row r="246" spans="12:13" x14ac:dyDescent="0.2">
      <c r="L246" s="21">
        <v>69430</v>
      </c>
      <c r="M246" s="21" t="s">
        <v>221</v>
      </c>
    </row>
    <row r="247" spans="12:13" x14ac:dyDescent="0.2">
      <c r="L247" s="21">
        <v>69739</v>
      </c>
      <c r="M247" s="21" t="s">
        <v>73</v>
      </c>
    </row>
    <row r="248" spans="12:13" x14ac:dyDescent="0.2">
      <c r="L248" s="21">
        <v>69757</v>
      </c>
      <c r="M248" s="21" t="s">
        <v>249</v>
      </c>
    </row>
    <row r="249" spans="12:13" x14ac:dyDescent="0.2">
      <c r="L249" s="21">
        <v>69872</v>
      </c>
      <c r="M249" s="21" t="s">
        <v>299</v>
      </c>
    </row>
    <row r="250" spans="12:13" x14ac:dyDescent="0.2">
      <c r="L250" s="21">
        <v>69914</v>
      </c>
      <c r="M250" s="21" t="s">
        <v>265</v>
      </c>
    </row>
    <row r="251" spans="12:13" x14ac:dyDescent="0.2">
      <c r="L251" s="21">
        <v>69977</v>
      </c>
      <c r="M251" s="21" t="s">
        <v>63</v>
      </c>
    </row>
    <row r="252" spans="12:13" x14ac:dyDescent="0.2">
      <c r="L252" s="21">
        <v>70204</v>
      </c>
      <c r="M252" s="21" t="s">
        <v>61</v>
      </c>
    </row>
    <row r="253" spans="12:13" x14ac:dyDescent="0.2">
      <c r="L253" s="21">
        <v>70325</v>
      </c>
      <c r="M253" s="21" t="s">
        <v>25</v>
      </c>
    </row>
    <row r="254" spans="12:13" x14ac:dyDescent="0.2">
      <c r="L254" s="21">
        <v>71206</v>
      </c>
      <c r="M254" s="21" t="s">
        <v>289</v>
      </c>
    </row>
    <row r="255" spans="12:13" x14ac:dyDescent="0.2">
      <c r="L255" s="21">
        <v>71321</v>
      </c>
      <c r="M255" s="21" t="s">
        <v>220</v>
      </c>
    </row>
    <row r="256" spans="12:13" x14ac:dyDescent="0.2">
      <c r="L256" s="21">
        <v>71469</v>
      </c>
      <c r="M256" s="21" t="s">
        <v>208</v>
      </c>
    </row>
    <row r="257" spans="12:13" x14ac:dyDescent="0.2">
      <c r="L257" s="21">
        <v>71539</v>
      </c>
      <c r="M257" s="21" t="s">
        <v>24</v>
      </c>
    </row>
    <row r="258" spans="12:13" x14ac:dyDescent="0.2">
      <c r="L258" s="21">
        <v>72079</v>
      </c>
      <c r="M258" s="21" t="s">
        <v>124</v>
      </c>
    </row>
    <row r="259" spans="12:13" x14ac:dyDescent="0.2">
      <c r="L259" s="21">
        <v>72344</v>
      </c>
      <c r="M259" s="21" t="s">
        <v>154</v>
      </c>
    </row>
    <row r="260" spans="12:13" x14ac:dyDescent="0.2">
      <c r="L260" s="21">
        <v>72791</v>
      </c>
      <c r="M260" s="21" t="s">
        <v>293</v>
      </c>
    </row>
    <row r="261" spans="12:13" x14ac:dyDescent="0.2">
      <c r="L261" s="21">
        <v>73378</v>
      </c>
      <c r="M261" s="21" t="s">
        <v>123</v>
      </c>
    </row>
    <row r="262" spans="12:13" x14ac:dyDescent="0.2">
      <c r="L262" s="21">
        <v>73494</v>
      </c>
      <c r="M262" s="21" t="s">
        <v>228</v>
      </c>
    </row>
    <row r="263" spans="12:13" x14ac:dyDescent="0.2">
      <c r="L263" s="21">
        <v>73694</v>
      </c>
      <c r="M263" s="21" t="s">
        <v>185</v>
      </c>
    </row>
    <row r="264" spans="12:13" x14ac:dyDescent="0.2">
      <c r="L264" s="21">
        <v>74147</v>
      </c>
      <c r="M264" s="21" t="s">
        <v>105</v>
      </c>
    </row>
    <row r="265" spans="12:13" x14ac:dyDescent="0.2">
      <c r="L265" s="21">
        <v>74205</v>
      </c>
      <c r="M265" s="21" t="s">
        <v>217</v>
      </c>
    </row>
    <row r="266" spans="12:13" x14ac:dyDescent="0.2">
      <c r="L266" s="21">
        <v>74665</v>
      </c>
      <c r="M266" s="21" t="s">
        <v>78</v>
      </c>
    </row>
    <row r="267" spans="12:13" x14ac:dyDescent="0.2">
      <c r="L267" s="21">
        <v>75465</v>
      </c>
      <c r="M267" s="21" t="s">
        <v>70</v>
      </c>
    </row>
    <row r="268" spans="12:13" x14ac:dyDescent="0.2">
      <c r="L268" s="21">
        <v>75589</v>
      </c>
      <c r="M268" s="21" t="s">
        <v>240</v>
      </c>
    </row>
    <row r="269" spans="12:13" x14ac:dyDescent="0.2">
      <c r="L269" s="21">
        <v>76268</v>
      </c>
      <c r="M269" s="21" t="s">
        <v>260</v>
      </c>
    </row>
    <row r="270" spans="12:13" x14ac:dyDescent="0.2">
      <c r="L270" s="21">
        <v>76491</v>
      </c>
      <c r="M270" s="21" t="s">
        <v>196</v>
      </c>
    </row>
    <row r="271" spans="12:13" x14ac:dyDescent="0.2">
      <c r="L271" s="21">
        <v>76493</v>
      </c>
      <c r="M271" s="21" t="s">
        <v>106</v>
      </c>
    </row>
    <row r="272" spans="12:13" x14ac:dyDescent="0.2">
      <c r="L272" s="21">
        <v>76498</v>
      </c>
      <c r="M272" s="21" t="s">
        <v>125</v>
      </c>
    </row>
    <row r="273" spans="12:13" x14ac:dyDescent="0.2">
      <c r="L273" s="21">
        <v>77111</v>
      </c>
      <c r="M273" s="21" t="s">
        <v>141</v>
      </c>
    </row>
    <row r="274" spans="12:13" x14ac:dyDescent="0.2">
      <c r="L274" s="21">
        <v>77246</v>
      </c>
      <c r="M274" s="21" t="s">
        <v>233</v>
      </c>
    </row>
    <row r="275" spans="12:13" x14ac:dyDescent="0.2">
      <c r="L275" s="21">
        <v>77308</v>
      </c>
      <c r="M275" s="21" t="s">
        <v>52</v>
      </c>
    </row>
    <row r="276" spans="12:13" x14ac:dyDescent="0.2">
      <c r="L276" s="21">
        <v>77579</v>
      </c>
      <c r="M276" s="21" t="s">
        <v>39</v>
      </c>
    </row>
    <row r="277" spans="12:13" x14ac:dyDescent="0.2">
      <c r="L277" s="21">
        <v>78475</v>
      </c>
      <c r="M277" s="21" t="s">
        <v>27</v>
      </c>
    </row>
    <row r="278" spans="12:13" x14ac:dyDescent="0.2">
      <c r="L278" s="21">
        <v>79902</v>
      </c>
      <c r="M278" s="21" t="s">
        <v>212</v>
      </c>
    </row>
    <row r="279" spans="12:13" x14ac:dyDescent="0.2">
      <c r="L279" s="21">
        <v>80030</v>
      </c>
      <c r="M279" s="21" t="s">
        <v>255</v>
      </c>
    </row>
    <row r="280" spans="12:13" x14ac:dyDescent="0.2">
      <c r="L280" s="21">
        <v>80780</v>
      </c>
      <c r="M280" s="21" t="s">
        <v>252</v>
      </c>
    </row>
    <row r="281" spans="12:13" x14ac:dyDescent="0.2">
      <c r="L281" s="21">
        <v>85964</v>
      </c>
      <c r="M281" s="21" t="s">
        <v>229</v>
      </c>
    </row>
    <row r="282" spans="12:13" x14ac:dyDescent="0.2">
      <c r="L282" s="21">
        <v>86099</v>
      </c>
      <c r="M282" s="21" t="s">
        <v>183</v>
      </c>
    </row>
    <row r="283" spans="12:13" x14ac:dyDescent="0.2">
      <c r="L283" s="21">
        <v>86137</v>
      </c>
      <c r="M283" s="21" t="s">
        <v>155</v>
      </c>
    </row>
    <row r="284" spans="12:13" x14ac:dyDescent="0.2">
      <c r="L284" s="21">
        <v>86262</v>
      </c>
      <c r="M284" s="21" t="s">
        <v>60</v>
      </c>
    </row>
    <row r="285" spans="12:13" x14ac:dyDescent="0.2">
      <c r="L285" s="21">
        <v>86628</v>
      </c>
      <c r="M285" s="21" t="s">
        <v>209</v>
      </c>
    </row>
    <row r="286" spans="12:13" x14ac:dyDescent="0.2">
      <c r="L286" s="21">
        <v>87020</v>
      </c>
      <c r="M286" s="21" t="s">
        <v>19</v>
      </c>
    </row>
    <row r="287" spans="12:13" x14ac:dyDescent="0.2">
      <c r="L287" s="21">
        <v>87663</v>
      </c>
      <c r="M287" s="21" t="s">
        <v>236</v>
      </c>
    </row>
    <row r="288" spans="12:13" x14ac:dyDescent="0.2">
      <c r="L288" s="21">
        <v>87672</v>
      </c>
      <c r="M288" s="21" t="s">
        <v>98</v>
      </c>
    </row>
    <row r="289" spans="12:13" x14ac:dyDescent="0.2">
      <c r="L289" s="21">
        <v>87779</v>
      </c>
      <c r="M289" s="21" t="s">
        <v>200</v>
      </c>
    </row>
    <row r="290" spans="12:13" x14ac:dyDescent="0.2">
      <c r="L290" s="21">
        <v>88449</v>
      </c>
      <c r="M290" s="21" t="s">
        <v>198</v>
      </c>
    </row>
    <row r="291" spans="12:13" x14ac:dyDescent="0.2">
      <c r="L291" s="21">
        <v>89250</v>
      </c>
      <c r="M291" s="21" t="s">
        <v>157</v>
      </c>
    </row>
    <row r="292" spans="12:13" x14ac:dyDescent="0.2">
      <c r="L292" s="21">
        <v>89291</v>
      </c>
      <c r="M292" s="21" t="s">
        <v>168</v>
      </c>
    </row>
    <row r="293" spans="12:13" x14ac:dyDescent="0.2">
      <c r="L293" s="21">
        <v>89499</v>
      </c>
      <c r="M293" s="21" t="s">
        <v>199</v>
      </c>
    </row>
    <row r="294" spans="12:13" x14ac:dyDescent="0.2">
      <c r="L294" s="21">
        <v>89515</v>
      </c>
      <c r="M294" s="21" t="s">
        <v>219</v>
      </c>
    </row>
    <row r="295" spans="12:13" x14ac:dyDescent="0.2">
      <c r="L295" s="21">
        <v>89787</v>
      </c>
      <c r="M295" s="21" t="s">
        <v>122</v>
      </c>
    </row>
    <row r="296" spans="12:13" x14ac:dyDescent="0.2">
      <c r="L296" s="21">
        <v>89907</v>
      </c>
      <c r="M296" s="21" t="s">
        <v>158</v>
      </c>
    </row>
    <row r="297" spans="12:13" x14ac:dyDescent="0.2">
      <c r="L297" s="21">
        <v>91873</v>
      </c>
      <c r="M297" s="21" t="s">
        <v>187</v>
      </c>
    </row>
    <row r="298" spans="12:13" x14ac:dyDescent="0.2">
      <c r="L298" s="21">
        <v>91948</v>
      </c>
      <c r="M298" s="21" t="s">
        <v>175</v>
      </c>
    </row>
    <row r="299" spans="12:13" x14ac:dyDescent="0.2">
      <c r="L299" s="21">
        <v>92037</v>
      </c>
      <c r="M299" s="21" t="s">
        <v>79</v>
      </c>
    </row>
    <row r="300" spans="12:13" x14ac:dyDescent="0.2">
      <c r="L300" s="21">
        <v>92094</v>
      </c>
      <c r="M300" s="21" t="s">
        <v>95</v>
      </c>
    </row>
    <row r="301" spans="12:13" x14ac:dyDescent="0.2">
      <c r="L301" s="21">
        <v>92227</v>
      </c>
      <c r="M301" s="21" t="s">
        <v>49</v>
      </c>
    </row>
    <row r="302" spans="12:13" x14ac:dyDescent="0.2">
      <c r="L302" s="21">
        <v>92647</v>
      </c>
      <c r="M302" s="21" t="s">
        <v>64</v>
      </c>
    </row>
    <row r="303" spans="12:13" x14ac:dyDescent="0.2">
      <c r="L303" s="21">
        <v>93248</v>
      </c>
      <c r="M303" s="21" t="s">
        <v>103</v>
      </c>
    </row>
    <row r="304" spans="12:13" x14ac:dyDescent="0.2">
      <c r="L304" s="21">
        <v>93291</v>
      </c>
      <c r="M304" s="21" t="s">
        <v>55</v>
      </c>
    </row>
    <row r="305" spans="12:13" x14ac:dyDescent="0.2">
      <c r="L305" s="21">
        <v>95096</v>
      </c>
      <c r="M305" s="21" t="s">
        <v>276</v>
      </c>
    </row>
    <row r="306" spans="12:13" x14ac:dyDescent="0.2">
      <c r="L306" s="21">
        <v>96910</v>
      </c>
      <c r="M306" s="21" t="s">
        <v>29</v>
      </c>
    </row>
    <row r="307" spans="12:13" x14ac:dyDescent="0.2">
      <c r="L307" s="21">
        <v>97765</v>
      </c>
      <c r="M307" s="21" t="s">
        <v>112</v>
      </c>
    </row>
    <row r="308" spans="12:13" x14ac:dyDescent="0.2">
      <c r="L308" s="21">
        <v>98181</v>
      </c>
      <c r="M308" s="21" t="s">
        <v>291</v>
      </c>
    </row>
    <row r="309" spans="12:13" x14ac:dyDescent="0.2">
      <c r="L309" s="21">
        <v>98314</v>
      </c>
      <c r="M309" s="21" t="s">
        <v>192</v>
      </c>
    </row>
    <row r="310" spans="12:13" x14ac:dyDescent="0.2">
      <c r="L310" s="21">
        <v>98651</v>
      </c>
      <c r="M310" s="21" t="s">
        <v>270</v>
      </c>
    </row>
  </sheetData>
  <sheetProtection algorithmName="SHA-512" hashValue="kprWb152FWsut69AVVJ+tCpzxvbDYbRRwpjyLYgH5ALoYdClmTYYHkhu5e7RkwxkHa4ibkiY9kHnvo3po8fyqw==" saltValue="x8yGx68fTyfIBqG74wbqXw==" spinCount="100000" sheet="1" selectLockedCells="1" selectUnlockedCells="1"/>
  <sortState xmlns:xlrd2="http://schemas.microsoft.com/office/spreadsheetml/2017/richdata2" ref="L2:N310">
    <sortCondition ref="L2:L310"/>
  </sortState>
  <mergeCells count="3">
    <mergeCell ref="D12:E12"/>
    <mergeCell ref="D8:E8"/>
    <mergeCell ref="D22:E22"/>
  </mergeCells>
  <phoneticPr fontId="12" type="noConversion"/>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91E680-7E24-4791-8F5C-C2D8DC42AA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steps</vt:lpstr>
      <vt:lpstr>courseD</vt:lpstr>
      <vt:lpstr>search</vt:lpstr>
      <vt:lpstr>hidden</vt:lpstr>
      <vt:lpstr>Punctuation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 Bujouves</dc:creator>
  <cp:lastModifiedBy>Shenghua He</cp:lastModifiedBy>
  <dcterms:created xsi:type="dcterms:W3CDTF">2022-01-21T21:45:11Z</dcterms:created>
  <dcterms:modified xsi:type="dcterms:W3CDTF">2022-03-30T21:17:04Z</dcterms:modified>
</cp:coreProperties>
</file>